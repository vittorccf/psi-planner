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Vittor\Projetos\Saluti\PsiPlanner\modelo2\"/>
    </mc:Choice>
  </mc:AlternateContent>
  <xr:revisionPtr revIDLastSave="0" documentId="8_{72C2D6FE-85A6-4817-AB85-36F84B081856}" xr6:coauthVersionLast="47" xr6:coauthVersionMax="47" xr10:uidLastSave="{00000000-0000-0000-0000-000000000000}"/>
  <bookViews>
    <workbookView xWindow="1560" yWindow="1560" windowWidth="21600" windowHeight="11295" xr2:uid="{00000000-000D-0000-FFFF-FFFF00000000}"/>
  </bookViews>
  <sheets>
    <sheet name="Menu Inicial" sheetId="1" r:id="rId1"/>
    <sheet name="Financeiro" sheetId="2" r:id="rId2"/>
    <sheet name="Pacientes" sheetId="3" r:id="rId3"/>
    <sheet name="Calendário" sheetId="4" r:id="rId4"/>
    <sheet name="Aniversariantes" sheetId="5" r:id="rId5"/>
    <sheet name="Relatórios" sheetId="6" r:id="rId6"/>
    <sheet name="Configurações" sheetId="7" r:id="rId7"/>
  </sheets>
  <functionGroups builtInGroupCount="19"/>
  <definedNames>
    <definedName name="ANIV_Idade">Aniversariantes!$D$7:$D$56</definedName>
    <definedName name="ANIV_MsgEnviada">Aniversariantes!$H$7:$H$56</definedName>
    <definedName name="ANIV_Nasc">Aniversariantes!$C$7:$C$56</definedName>
    <definedName name="ANIV_Nome">Aniversariantes!$B$7:$B$56</definedName>
    <definedName name="ANIV_Status">Aniversariantes!$G$7:$G$56</definedName>
    <definedName name="ANIV_Telefone">Aniversariantes!$F$7:$F$56</definedName>
    <definedName name="ANIV_TotalMes">Aniversariantes!$K$5</definedName>
    <definedName name="AVISO_Aniversariantes">'Menu Inicial'!$J$13</definedName>
    <definedName name="AVISO_MEI">'Menu Inicial'!$J$9</definedName>
    <definedName name="AVISO_Pendentes">'Menu Inicial'!$J$11</definedName>
    <definedName name="AVISO_SemSessao">'Menu Inicial'!$J$6</definedName>
    <definedName name="CAL_ConsultasDia">Calendário!$K$5</definedName>
    <definedName name="CAL_Grid">Calendário!$C$6:$H$21</definedName>
    <definedName name="CAL_LogData">Calendário!$A$100:$A$160</definedName>
    <definedName name="CAL_LogStatus">Calendário!$E$100:$E$160</definedName>
    <definedName name="CAL_TaxaCancelamento">Calendário!$K$6</definedName>
    <definedName name="CAL_TaxaFaltas">Calendário!$K$7</definedName>
    <definedName name="CFG_Email">Configurações!$C$10</definedName>
    <definedName name="CFG_LimiteMEI">Configurações!$C$13</definedName>
    <definedName name="CFG_NomeClinica">Configurações!$C$6</definedName>
    <definedName name="CFG_Profissional">Configurações!$C$7</definedName>
    <definedName name="CFG_Registro">Configurações!$C$8</definedName>
    <definedName name="CFG_Telefone">Configurações!$C$9</definedName>
    <definedName name="CFG_ValorSessao">Configurações!$C$14</definedName>
    <definedName name="DESP_Categoria">Financeiro!$C$61:$C$74</definedName>
    <definedName name="DESP_Data">Financeiro!$B$61:$B$74</definedName>
    <definedName name="DESP_Desc">Financeiro!$D$61:$D$74</definedName>
    <definedName name="DESP_Forma">Financeiro!$F$61:$F$74</definedName>
    <definedName name="DESP_Valor">Financeiro!$E$61:$E$74</definedName>
    <definedName name="FIN_Data">Financeiro!$B$7:$B$56</definedName>
    <definedName name="FIN_Forma">Financeiro!$E$7:$E$56</definedName>
    <definedName name="FIN_Inadimplencia">Financeiro!$M$9</definedName>
    <definedName name="FIN_LucroLiquido">Financeiro!$M$8</definedName>
    <definedName name="FIN_NF">Financeiro!$H$7:$H$56</definedName>
    <definedName name="FIN_NumNF">Financeiro!$I$7:$I$56</definedName>
    <definedName name="FIN_Obs">Financeiro!$J$7:$J$56</definedName>
    <definedName name="FIN_Paciente">Financeiro!$C$7:$C$56</definedName>
    <definedName name="FIN_Status">Financeiro!$G$7:$G$56</definedName>
    <definedName name="FIN_Tipo">Financeiro!$D$7:$D$56</definedName>
    <definedName name="FIN_TotalPendente">Financeiro!$M$7</definedName>
    <definedName name="FIN_TotalRecebido">Financeiro!$M$6</definedName>
    <definedName name="FIN_Valor">Financeiro!$F$7:$F$56</definedName>
    <definedName name="KPI_AniversariantesMes">'Menu Inicial'!$H$7</definedName>
    <definedName name="KPI_FaltasMes">'Menu Inicial'!$G$7</definedName>
    <definedName name="KPI_PacientesAtivos">'Menu Inicial'!$B$7</definedName>
    <definedName name="KPI_ProxConsulta">'Menu Inicial'!$F$7</definedName>
    <definedName name="KPI_ReceitaMes">'Menu Inicial'!$C$7</definedName>
    <definedName name="KPI_ValorPendente">'Menu Inicial'!$D$7</definedName>
    <definedName name="MEI_Faturamento">Financeiro!$M$11</definedName>
    <definedName name="MEI_Indicador">Financeiro!$M$10</definedName>
    <definedName name="PAC_Convenio">Pacientes!$J$7:$J$56</definedName>
    <definedName name="PAC_Idade">Pacientes!$F$7:$F$56</definedName>
    <definedName name="PAC_Nasc">Pacientes!$E$7:$E$56</definedName>
    <definedName name="PAC_Nome">Pacientes!$B$7:$B$56</definedName>
    <definedName name="PAC_Saldo">Pacientes!$R$7:$R$56</definedName>
    <definedName name="PAC_SessContratadas">Pacientes!$P$7:$P$56</definedName>
    <definedName name="PAC_SessRealizadas">Pacientes!$Q$7:$Q$56</definedName>
    <definedName name="PAC_Status">Pacientes!$O$7:$O$56</definedName>
    <definedName name="PAC_UltimaSessao">Pacientes!$S$7:$S$56</definedName>
    <definedName name="PAC_ValorSessao">Pacientes!$N$7:$N$56</definedName>
    <definedName name="Print_Area" localSheetId="4">Aniversariantes!$A$1:$K$20</definedName>
    <definedName name="Print_Area" localSheetId="3">Calendário!$A$1:$K$22</definedName>
    <definedName name="Print_Area" localSheetId="6">Configurações!$A$1:$D$14</definedName>
    <definedName name="Print_Area" localSheetId="1">Financeiro!$A$1:$M$74</definedName>
    <definedName name="Print_Area" localSheetId="0">'Menu Inicial'!$A$1:$L$21</definedName>
    <definedName name="Print_Area" localSheetId="2">Pacientes!$A$1:$T$56</definedName>
    <definedName name="Print_Area" localSheetId="5">Relatórios!$A$1:$I$30</definedName>
    <definedName name="Print_Titles" localSheetId="4">Aniversariantes!$1:$6</definedName>
    <definedName name="Print_Titles" localSheetId="1">Financeiro!$1:$6</definedName>
    <definedName name="Print_Titles" localSheetId="2">Pacientes!$1:$6</definedName>
    <definedName name="REL_Atendimentos">Relatórios!$C$8</definedName>
    <definedName name="REL_Ativos">Relatórios!$F$6</definedName>
    <definedName name="REL_ComparativoMeses">Relatórios!$I$7</definedName>
    <definedName name="REL_ReceitaAnual">Relatórios!$C$7</definedName>
    <definedName name="REL_ReceitaConvenio">Relatórios!$I$6</definedName>
    <definedName name="REL_ReceitaMensal">Relatórios!$C$6</definedName>
    <definedName name="REL_TaxaCancelamento">Relatórios!$F$7</definedName>
    <definedName name="REL_TaxaInadimplencia">Relatórios!$F$8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C13" i="6" l="1"/>
  <c r="AC12" i="6"/>
  <c r="AC11" i="6"/>
  <c r="AC10" i="6"/>
  <c r="AC9" i="6"/>
  <c r="AC8" i="6"/>
  <c r="C8" i="6"/>
  <c r="AF7" i="6"/>
  <c r="AC7" i="6"/>
  <c r="I7" i="6"/>
  <c r="AI6" i="6"/>
  <c r="AF6" i="6"/>
  <c r="AC6" i="6"/>
  <c r="I6" i="6"/>
  <c r="F6" i="6"/>
  <c r="AI5" i="6"/>
  <c r="AF5" i="6"/>
  <c r="AC5" i="6"/>
  <c r="AI4" i="6"/>
  <c r="AF4" i="6"/>
  <c r="AC4" i="6"/>
  <c r="AI3" i="6"/>
  <c r="AF3" i="6"/>
  <c r="AC3" i="6"/>
  <c r="AI2" i="6"/>
  <c r="AF2" i="6"/>
  <c r="AC2" i="6"/>
  <c r="E14" i="5"/>
  <c r="D14" i="5"/>
  <c r="AC13" i="5"/>
  <c r="E13" i="5"/>
  <c r="D13" i="5"/>
  <c r="AC12" i="5"/>
  <c r="E12" i="5"/>
  <c r="D12" i="5"/>
  <c r="AC11" i="5"/>
  <c r="E11" i="5"/>
  <c r="D11" i="5"/>
  <c r="AC10" i="5"/>
  <c r="E10" i="5"/>
  <c r="D10" i="5"/>
  <c r="AC9" i="5"/>
  <c r="E9" i="5"/>
  <c r="D9" i="5"/>
  <c r="AC8" i="5"/>
  <c r="E8" i="5"/>
  <c r="D8" i="5"/>
  <c r="AC7" i="5"/>
  <c r="E7" i="5"/>
  <c r="D7" i="5"/>
  <c r="AC6" i="5"/>
  <c r="AC5" i="5"/>
  <c r="K5" i="5"/>
  <c r="AC4" i="5"/>
  <c r="AC3" i="5"/>
  <c r="AC2" i="5"/>
  <c r="AB160" i="4"/>
  <c r="AB159" i="4"/>
  <c r="AB158" i="4"/>
  <c r="AB157" i="4"/>
  <c r="AB156" i="4"/>
  <c r="AB155" i="4"/>
  <c r="AB154" i="4"/>
  <c r="AB153" i="4"/>
  <c r="AB152" i="4"/>
  <c r="AB151" i="4"/>
  <c r="AB150" i="4"/>
  <c r="AB149" i="4"/>
  <c r="AB148" i="4"/>
  <c r="AB147" i="4"/>
  <c r="AB146" i="4"/>
  <c r="AB145" i="4"/>
  <c r="AB144" i="4"/>
  <c r="AB143" i="4"/>
  <c r="AB142" i="4"/>
  <c r="AB141" i="4"/>
  <c r="AB140" i="4"/>
  <c r="AB139" i="4"/>
  <c r="AB138" i="4"/>
  <c r="AB137" i="4"/>
  <c r="AB136" i="4"/>
  <c r="AB135" i="4"/>
  <c r="AB134" i="4"/>
  <c r="AB133" i="4"/>
  <c r="AB132" i="4"/>
  <c r="AB131" i="4"/>
  <c r="AB130" i="4"/>
  <c r="AB129" i="4"/>
  <c r="AB128" i="4"/>
  <c r="AB127" i="4"/>
  <c r="AB126" i="4"/>
  <c r="AB125" i="4"/>
  <c r="AB124" i="4"/>
  <c r="AB123" i="4"/>
  <c r="AB122" i="4"/>
  <c r="AB121" i="4"/>
  <c r="AB120" i="4"/>
  <c r="AB119" i="4"/>
  <c r="AB118" i="4"/>
  <c r="AB117" i="4"/>
  <c r="AB116" i="4"/>
  <c r="AB115" i="4"/>
  <c r="AB114" i="4"/>
  <c r="AB113" i="4"/>
  <c r="AB112" i="4"/>
  <c r="AB111" i="4"/>
  <c r="AB110" i="4"/>
  <c r="AB109" i="4"/>
  <c r="AB108" i="4"/>
  <c r="AB107" i="4"/>
  <c r="AB106" i="4"/>
  <c r="AB105" i="4"/>
  <c r="AB104" i="4"/>
  <c r="AB103" i="4"/>
  <c r="AB102" i="4"/>
  <c r="AB101" i="4"/>
  <c r="AB100" i="4"/>
  <c r="K7" i="4"/>
  <c r="K6" i="4"/>
  <c r="F7" i="6" s="1"/>
  <c r="K5" i="4"/>
  <c r="B3" i="4"/>
  <c r="T14" i="3"/>
  <c r="R14" i="3"/>
  <c r="F14" i="3"/>
  <c r="T13" i="3"/>
  <c r="R13" i="3"/>
  <c r="F13" i="3"/>
  <c r="T12" i="3"/>
  <c r="R12" i="3"/>
  <c r="F12" i="3"/>
  <c r="T11" i="3"/>
  <c r="R11" i="3"/>
  <c r="F11" i="3"/>
  <c r="T10" i="3"/>
  <c r="R10" i="3"/>
  <c r="F10" i="3"/>
  <c r="T9" i="3"/>
  <c r="R9" i="3"/>
  <c r="F9" i="3"/>
  <c r="T8" i="3"/>
  <c r="R8" i="3"/>
  <c r="F8" i="3"/>
  <c r="T7" i="3"/>
  <c r="R7" i="3"/>
  <c r="F7" i="3"/>
  <c r="AC13" i="2"/>
  <c r="AC12" i="2"/>
  <c r="M12" i="2"/>
  <c r="AC11" i="2"/>
  <c r="M11" i="2"/>
  <c r="C7" i="6" s="1"/>
  <c r="AC10" i="2"/>
  <c r="AC9" i="2"/>
  <c r="AC8" i="2"/>
  <c r="AC7" i="2"/>
  <c r="M7" i="2"/>
  <c r="AO6" i="2"/>
  <c r="AC6" i="2"/>
  <c r="M6" i="2"/>
  <c r="AF2" i="2" s="1"/>
  <c r="AO5" i="2"/>
  <c r="AC5" i="2"/>
  <c r="AO4" i="2"/>
  <c r="AC4" i="2"/>
  <c r="AO3" i="2"/>
  <c r="AI3" i="2"/>
  <c r="AF3" i="2"/>
  <c r="AC3" i="2"/>
  <c r="AO2" i="2"/>
  <c r="AC2" i="2"/>
  <c r="AL2" i="2" s="1"/>
  <c r="AL3" i="2" s="1"/>
  <c r="AL4" i="2" s="1"/>
  <c r="AL5" i="2" s="1"/>
  <c r="AL6" i="2" s="1"/>
  <c r="AL7" i="2" s="1"/>
  <c r="J13" i="1"/>
  <c r="J11" i="1"/>
  <c r="H7" i="1"/>
  <c r="G7" i="1"/>
  <c r="D7" i="1"/>
  <c r="C7" i="1"/>
  <c r="C6" i="6" s="1"/>
  <c r="B7" i="1"/>
  <c r="J6" i="1"/>
  <c r="J2" i="1"/>
  <c r="AL8" i="2" l="1"/>
  <c r="AL9" i="2" s="1"/>
  <c r="AL10" i="2" s="1"/>
  <c r="AL11" i="2" s="1"/>
  <c r="AL12" i="2" s="1"/>
  <c r="AL13" i="2" s="1"/>
  <c r="M10" i="2"/>
  <c r="F7" i="1"/>
  <c r="J9" i="1"/>
  <c r="M8" i="2"/>
  <c r="AI2" i="2"/>
  <c r="M9" i="2"/>
  <c r="F8" i="6" s="1"/>
</calcChain>
</file>

<file path=xl/sharedStrings.xml><?xml version="1.0" encoding="utf-8"?>
<sst xmlns="http://schemas.openxmlformats.org/spreadsheetml/2006/main" count="654" uniqueCount="276">
  <si>
    <t>PSI PLANNER 2</t>
  </si>
  <si>
    <t>Clínica Vita</t>
  </si>
  <si>
    <t>Cuidado em saúde mental com presença e excelência</t>
  </si>
  <si>
    <t>AVISOS</t>
  </si>
  <si>
    <t>Total de pacientes ativos</t>
  </si>
  <si>
    <t>Receita do mês</t>
  </si>
  <si>
    <t>Valor pendente</t>
  </si>
  <si>
    <t>Próxima consulta</t>
  </si>
  <si>
    <t>Faltas do mês</t>
  </si>
  <si>
    <t>Aniversariantes do mês</t>
  </si>
  <si>
    <t>•</t>
  </si>
  <si>
    <t>ACESSO RÁPIDO</t>
  </si>
  <si>
    <t>Mês</t>
  </si>
  <si>
    <t>Receita</t>
  </si>
  <si>
    <t>Tipo</t>
  </si>
  <si>
    <t>Valor</t>
  </si>
  <si>
    <t>Situação</t>
  </si>
  <si>
    <t>Acumulado</t>
  </si>
  <si>
    <t>Forma</t>
  </si>
  <si>
    <t>Financeiro</t>
  </si>
  <si>
    <t>Jan</t>
  </si>
  <si>
    <t>Pago</t>
  </si>
  <si>
    <t>Pix</t>
  </si>
  <si>
    <t>Lançamentos, recebimentos e indicadores</t>
  </si>
  <si>
    <t>Fev</t>
  </si>
  <si>
    <t>Despesa</t>
  </si>
  <si>
    <t>Pendente</t>
  </si>
  <si>
    <t>Dinheiro</t>
  </si>
  <si>
    <t>LANÇAMENTOS</t>
  </si>
  <si>
    <t>INDICADORES</t>
  </si>
  <si>
    <t>Mar</t>
  </si>
  <si>
    <t>Cartão</t>
  </si>
  <si>
    <t>Abr</t>
  </si>
  <si>
    <t>Convênio</t>
  </si>
  <si>
    <t>Data</t>
  </si>
  <si>
    <t>Paciente</t>
  </si>
  <si>
    <t>Forma Pgto</t>
  </si>
  <si>
    <t>Status</t>
  </si>
  <si>
    <t>NF</t>
  </si>
  <si>
    <t>Nº NF</t>
  </si>
  <si>
    <t>Observações</t>
  </si>
  <si>
    <t>Total recebido</t>
  </si>
  <si>
    <t>Mai</t>
  </si>
  <si>
    <t>Boleto</t>
  </si>
  <si>
    <t>Eduarda Faria</t>
  </si>
  <si>
    <t>Sessão online</t>
  </si>
  <si>
    <t>Emitida</t>
  </si>
  <si>
    <t>2026-012</t>
  </si>
  <si>
    <t>Total pendente</t>
  </si>
  <si>
    <t>Jun</t>
  </si>
  <si>
    <t>Bruno Carvalho</t>
  </si>
  <si>
    <t>2026-018</t>
  </si>
  <si>
    <t>Lucro líquido</t>
  </si>
  <si>
    <t>Jul</t>
  </si>
  <si>
    <t>Ana Beatriz Souza</t>
  </si>
  <si>
    <t>Sessão presencial</t>
  </si>
  <si>
    <t>2026-021</t>
  </si>
  <si>
    <t>Recibo Receita Saúde</t>
  </si>
  <si>
    <t>% inadimplência</t>
  </si>
  <si>
    <t>Ago</t>
  </si>
  <si>
    <t>Fernando Gomes</t>
  </si>
  <si>
    <t>2026-027</t>
  </si>
  <si>
    <t>Indicador MEI</t>
  </si>
  <si>
    <t>Set</t>
  </si>
  <si>
    <t>2026-034</t>
  </si>
  <si>
    <t>Faturamento anual</t>
  </si>
  <si>
    <t>Out</t>
  </si>
  <si>
    <t>2026-041</t>
  </si>
  <si>
    <t>Total despesas</t>
  </si>
  <si>
    <t>Nov</t>
  </si>
  <si>
    <t>2026-048</t>
  </si>
  <si>
    <t>Dez</t>
  </si>
  <si>
    <t>Camila Diniz</t>
  </si>
  <si>
    <t>Não emitida</t>
  </si>
  <si>
    <t>Pagamento em espécie</t>
  </si>
  <si>
    <t>2026-056</t>
  </si>
  <si>
    <t>2026-062</t>
  </si>
  <si>
    <t>2026-071</t>
  </si>
  <si>
    <t>2026-079</t>
  </si>
  <si>
    <t>2026-085</t>
  </si>
  <si>
    <t>2026-110</t>
  </si>
  <si>
    <t>Diego Esteves</t>
  </si>
  <si>
    <t>Cancelado</t>
  </si>
  <si>
    <t>Cancelou 24h antes</t>
  </si>
  <si>
    <t>2026-121</t>
  </si>
  <si>
    <t>2026-122</t>
  </si>
  <si>
    <t>Aguardando confirmação</t>
  </si>
  <si>
    <t>2026-123</t>
  </si>
  <si>
    <t>Kris Fellipe</t>
  </si>
  <si>
    <t>Faturamento convênio</t>
  </si>
  <si>
    <t>2026-124</t>
  </si>
  <si>
    <t>Gabriela Hoffmann</t>
  </si>
  <si>
    <t>Lembrete</t>
  </si>
  <si>
    <t>Lembrete WhatsApp enviado</t>
  </si>
  <si>
    <t>DESPESAS</t>
  </si>
  <si>
    <t>Categoria</t>
  </si>
  <si>
    <t>Descrição</t>
  </si>
  <si>
    <t>Plataforma online</t>
  </si>
  <si>
    <t>Assinatura Psi Planner 2 Pro</t>
  </si>
  <si>
    <t>Internet</t>
  </si>
  <si>
    <t>Banda larga + WhatsApp Business</t>
  </si>
  <si>
    <t>Aluguel</t>
  </si>
  <si>
    <t>Sala em coworking clínico</t>
  </si>
  <si>
    <t>Supervisão</t>
  </si>
  <si>
    <t>Supervisão clínica mensal</t>
  </si>
  <si>
    <t>Marketing</t>
  </si>
  <si>
    <t>Google Ads + Instagram</t>
  </si>
  <si>
    <t>Materiais</t>
  </si>
  <si>
    <t>Testes psicométricos e prontuários</t>
  </si>
  <si>
    <t>Outros</t>
  </si>
  <si>
    <t>Manutenção de equipamentos</t>
  </si>
  <si>
    <t>GRÁFICOS</t>
  </si>
  <si>
    <t>Pacientes</t>
  </si>
  <si>
    <t>Cadastro e acompanhamento clínico</t>
  </si>
  <si>
    <t>Nome</t>
  </si>
  <si>
    <t>CPF</t>
  </si>
  <si>
    <t>RG</t>
  </si>
  <si>
    <t>Nascimento</t>
  </si>
  <si>
    <t>Idade</t>
  </si>
  <si>
    <t>Telefone</t>
  </si>
  <si>
    <t>Email</t>
  </si>
  <si>
    <t>Endereço</t>
  </si>
  <si>
    <t>Profissão</t>
  </si>
  <si>
    <t>Início</t>
  </si>
  <si>
    <t>Frequência</t>
  </si>
  <si>
    <t>Valor sessão</t>
  </si>
  <si>
    <t>Contratadas</t>
  </si>
  <si>
    <t>Realizadas</t>
  </si>
  <si>
    <t>Saldo</t>
  </si>
  <si>
    <t>Última sessão</t>
  </si>
  <si>
    <t>Total faturado</t>
  </si>
  <si>
    <t>284.915.370-22</t>
  </si>
  <si>
    <t>12.845.013-7</t>
  </si>
  <si>
    <t>(62) 98111-2222</t>
  </si>
  <si>
    <t>ana.souza@email.com</t>
  </si>
  <si>
    <t>R. das Flores, 120 - Goiânia/GO</t>
  </si>
  <si>
    <t>Particular</t>
  </si>
  <si>
    <t>Arquiteta</t>
  </si>
  <si>
    <t>Semanal</t>
  </si>
  <si>
    <t>Ativo</t>
  </si>
  <si>
    <t>417.062.853-90</t>
  </si>
  <si>
    <t>23.701.594-2</t>
  </si>
  <si>
    <t>(62) 98222-3333</t>
  </si>
  <si>
    <t>bruno.c@email.com</t>
  </si>
  <si>
    <t>Av. T-63, 800 - Goiânia/GO</t>
  </si>
  <si>
    <t>Unimed</t>
  </si>
  <si>
    <t>Engenheiro</t>
  </si>
  <si>
    <t>538.274.916-04</t>
  </si>
  <si>
    <t>31.928.460-5</t>
  </si>
  <si>
    <t>(62) 98333-4444</t>
  </si>
  <si>
    <t>camila.d@email.com</t>
  </si>
  <si>
    <t>R. 7, 45 - Anápolis/GO</t>
  </si>
  <si>
    <t>Professora</t>
  </si>
  <si>
    <t>Quinzenal</t>
  </si>
  <si>
    <t>692.103.748-51</t>
  </si>
  <si>
    <t>44.560.182-9</t>
  </si>
  <si>
    <t>(62) 98444-5555</t>
  </si>
  <si>
    <t>diego.e@email.com</t>
  </si>
  <si>
    <t>R. 9, 300 - Goiânia/GO</t>
  </si>
  <si>
    <t>Designer</t>
  </si>
  <si>
    <t>Pausado</t>
  </si>
  <si>
    <t>703.418.625-37</t>
  </si>
  <si>
    <t>15.673.209-4</t>
  </si>
  <si>
    <t>(62) 98555-6666</t>
  </si>
  <si>
    <t>edu.faria@email.com</t>
  </si>
  <si>
    <t>Av. 85, 1500 - Goiânia/GO</t>
  </si>
  <si>
    <t>Bradesco</t>
  </si>
  <si>
    <t>Médica</t>
  </si>
  <si>
    <t>865.290.143-78</t>
  </si>
  <si>
    <t>26.084.751-3</t>
  </si>
  <si>
    <t>(62) 98666-7777</t>
  </si>
  <si>
    <t>fer.gomes@email.com</t>
  </si>
  <si>
    <t>R. C-140, 22 - Goiânia/GO</t>
  </si>
  <si>
    <t>Advogado</t>
  </si>
  <si>
    <t>129.576.430-86</t>
  </si>
  <si>
    <t>37.215.608-1</t>
  </si>
  <si>
    <t>(62) 98777-8888</t>
  </si>
  <si>
    <t>gabi.h@email.com</t>
  </si>
  <si>
    <t>R. 1004, 60 - Goiânia/GO</t>
  </si>
  <si>
    <t>SulAmérica</t>
  </si>
  <si>
    <t>Publicitária</t>
  </si>
  <si>
    <t>954.380.217-69</t>
  </si>
  <si>
    <t>48.902.136-0</t>
  </si>
  <si>
    <t>(62) 98888-9999</t>
  </si>
  <si>
    <t>kris.fellipe@email.com</t>
  </si>
  <si>
    <t>UBS Turvânia - Turvânia/GO</t>
  </si>
  <si>
    <t>Dentista (UBS)</t>
  </si>
  <si>
    <t>Mensal</t>
  </si>
  <si>
    <t>Calendário</t>
  </si>
  <si>
    <t>RESUMO DO DIA</t>
  </si>
  <si>
    <t>Hora</t>
  </si>
  <si>
    <t>Segunda</t>
  </si>
  <si>
    <t>Terça</t>
  </si>
  <si>
    <t>Quarta</t>
  </si>
  <si>
    <t>Quinta</t>
  </si>
  <si>
    <t>Sexta</t>
  </si>
  <si>
    <t>Sábado</t>
  </si>
  <si>
    <t>Consultas do dia</t>
  </si>
  <si>
    <t>07h</t>
  </si>
  <si>
    <t>Taxa de cancelamento</t>
  </si>
  <si>
    <t>08h</t>
  </si>
  <si>
    <t>Kris Fellipe
Presencial · Cancelado</t>
  </si>
  <si>
    <t>Taxa de faltas</t>
  </si>
  <si>
    <t>09h</t>
  </si>
  <si>
    <t>Diego Esteves
Presencial · Faltou</t>
  </si>
  <si>
    <t>10h</t>
  </si>
  <si>
    <t>Bruno Carvalho
Online · Confirmado</t>
  </si>
  <si>
    <t>11h</t>
  </si>
  <si>
    <t>Fernando Gomes
Presencial · Confirmado</t>
  </si>
  <si>
    <t>LISTA DE ESPERA</t>
  </si>
  <si>
    <t>12h</t>
  </si>
  <si>
    <t>13h</t>
  </si>
  <si>
    <t>Marina Lopes</t>
  </si>
  <si>
    <t>(62) 99100-2200</t>
  </si>
  <si>
    <t>14h</t>
  </si>
  <si>
    <t>Ana Beatriz Souza
Presencial · Realizado</t>
  </si>
  <si>
    <t>Otávio Reis</t>
  </si>
  <si>
    <t>(62) 99100-3300</t>
  </si>
  <si>
    <t>15h</t>
  </si>
  <si>
    <t>Camila Diniz
Presencial · Confirmado</t>
  </si>
  <si>
    <t>16h</t>
  </si>
  <si>
    <t>Eduarda Faria
Online · Confirmado</t>
  </si>
  <si>
    <t>17h</t>
  </si>
  <si>
    <t>18h</t>
  </si>
  <si>
    <t>19h</t>
  </si>
  <si>
    <t>Gabriela Hoffmann
Online · Realizado</t>
  </si>
  <si>
    <t>20h</t>
  </si>
  <si>
    <t>21h</t>
  </si>
  <si>
    <t>22h</t>
  </si>
  <si>
    <t>14:00</t>
  </si>
  <si>
    <t>Presencial</t>
  </si>
  <si>
    <t>Realizado</t>
  </si>
  <si>
    <t>10:00</t>
  </si>
  <si>
    <t>Online</t>
  </si>
  <si>
    <t>Confirmado</t>
  </si>
  <si>
    <t>15:00</t>
  </si>
  <si>
    <t>09:00</t>
  </si>
  <si>
    <t>Faltou</t>
  </si>
  <si>
    <t>16:00</t>
  </si>
  <si>
    <t>08:00</t>
  </si>
  <si>
    <t>11:00</t>
  </si>
  <si>
    <t>19:00</t>
  </si>
  <si>
    <t>Qtd</t>
  </si>
  <si>
    <t>Aniversariantes</t>
  </si>
  <si>
    <t>Relacionamento e cuidado com cada paciente</t>
  </si>
  <si>
    <t>DO MÊS</t>
  </si>
  <si>
    <t>Aniversário</t>
  </si>
  <si>
    <t>Mensagem enviada?</t>
  </si>
  <si>
    <t>Sim</t>
  </si>
  <si>
    <t>Não</t>
  </si>
  <si>
    <t>Atend.</t>
  </si>
  <si>
    <t>Relatórios</t>
  </si>
  <si>
    <t>Visão consolidada da clínica</t>
  </si>
  <si>
    <t>Receita mensal</t>
  </si>
  <si>
    <t>Pacientes ativos</t>
  </si>
  <si>
    <t>Receita por convênio</t>
  </si>
  <si>
    <t>Receita anual</t>
  </si>
  <si>
    <t>Crescimento vs. mês ant.</t>
  </si>
  <si>
    <t>Sessões registradas</t>
  </si>
  <si>
    <t>Taxa de inadimplência</t>
  </si>
  <si>
    <t>Configurações</t>
  </si>
  <si>
    <t>Preferências e dados do profissional</t>
  </si>
  <si>
    <t>DADOS DA CLÍNICA</t>
  </si>
  <si>
    <t>Nome da clínica</t>
  </si>
  <si>
    <t>Profissional responsável</t>
  </si>
  <si>
    <t>Guilherme Quintino</t>
  </si>
  <si>
    <t>Registro profissional</t>
  </si>
  <si>
    <t>CRP 09/12345</t>
  </si>
  <si>
    <t>Telefone de contato</t>
  </si>
  <si>
    <t>(62) 99000-1010</t>
  </si>
  <si>
    <t>contato@clinicavita.com.br</t>
  </si>
  <si>
    <t>PARÂMETROS</t>
  </si>
  <si>
    <t>Limite MEI (anual)</t>
  </si>
  <si>
    <t>Valor padrão da sessão</t>
  </si>
  <si>
    <t>Categorias de despesa</t>
  </si>
  <si>
    <t>Aluguel · Supervisão · Marketing · Plataforma online · Materiais · Internet · Outros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</si>
</sst>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5" formatCode="\R\$\ #,##0.00"/>
    <numFmt numFmtId="166" formatCode="0.0%"/>
    <numFmt numFmtId="167" formatCode="d\ &quot;de&quot;\ mmmm\ &quot;de&quot;\ yyyy"/>
    <numFmt numFmtId="168" formatCode="\R\$\ #,##0"/>
  </numFmts>
  <fonts count="21" x14ac:knownFonts="1">
    <font>
      <sz val="11"/>
      <color theme="1"/>
      <name val="Calibri"/>
      <family val="2"/>
      <scheme val="minor"/>
    </font>
    <font>
      <sz val="26"/>
      <color rgb="FF000000"/>
      <name val="Playfair Display"/>
    </font>
    <font>
      <sz val="11"/>
      <color rgb="FF3B3B3B"/>
      <name val="Poppins Light"/>
    </font>
    <font>
      <sz val="9"/>
      <color rgb="FF3B3B3B"/>
      <name val="Poppins Light"/>
    </font>
    <font>
      <sz val="18"/>
      <color rgb="FF000000"/>
      <name val="Poppins"/>
    </font>
    <font>
      <sz val="18"/>
      <color rgb="FF5A1E2A"/>
      <name val="Poppins"/>
    </font>
    <font>
      <sz val="15"/>
      <color rgb="FF000000"/>
      <name val="Poppins"/>
    </font>
    <font>
      <sz val="12"/>
      <color rgb="FF3B3B3B"/>
      <name val="Poppins Light"/>
    </font>
    <font>
      <sz val="12"/>
      <color rgb="FF5A1E2A"/>
      <name val="Playfair Display"/>
    </font>
    <font>
      <sz val="9"/>
      <color rgb="FF3B3B3B"/>
      <name val="Segoe UI Light"/>
    </font>
    <font>
      <sz val="18"/>
      <color rgb="FF000000"/>
      <name val="Playfair Display"/>
    </font>
    <font>
      <sz val="10"/>
      <color rgb="FF3B3B3B"/>
      <name val="Poppins Light"/>
    </font>
    <font>
      <sz val="15"/>
      <color rgb="FF5A1E2A"/>
      <name val="Poppins"/>
    </font>
    <font>
      <sz val="15"/>
      <color rgb="FF3B3B3B"/>
      <name val="Poppins"/>
    </font>
    <font>
      <sz val="8"/>
      <color rgb="FF3B3B3B"/>
      <name val="Poppins Light"/>
    </font>
    <font>
      <sz val="9"/>
      <color rgb="FF000000"/>
      <name val="Poppins Light"/>
    </font>
    <font>
      <sz val="8"/>
      <color rgb="FF000000"/>
      <name val="Poppins Light"/>
    </font>
    <font>
      <sz val="11"/>
      <color rgb="FF5A1E2A"/>
      <name val="Poppins Light"/>
    </font>
    <font>
      <sz val="9"/>
      <color rgb="FF5A1E2A"/>
      <name val="Poppins Light"/>
    </font>
    <font>
      <sz val="10"/>
      <color rgb="FF000000"/>
      <name val="Poppins Light"/>
    </font>
    <font>
      <i/>
      <sz val="13"/>
      <color rgb="FF3B3B3B"/>
      <name val="Playfair Display"/>
    </font>
  </fonts>
  <fills count="3">
    <fill>
      <patternFill patternType="none"/>
    </fill>
    <fill>
      <patternFill patternType="gray125"/>
    </fill>
    <fill>
      <patternFill patternType="solid">
        <fgColor rgb="FFF4F4F4"/>
      </patternFill>
    </fill>
  </fills>
  <borders count="7">
    <border>
      <left/>
      <right/>
      <top/>
      <bottom/>
      <diagonal/>
    </border>
    <border>
      <left/>
      <right/>
      <top/>
      <bottom style="thin">
        <color rgb="FFE2E2E2"/>
      </bottom>
      <diagonal/>
    </border>
    <border>
      <left/>
      <right/>
      <top/>
      <bottom style="thin">
        <color rgb="FFE2E2E2"/>
      </bottom>
      <diagonal/>
    </border>
    <border>
      <left/>
      <right/>
      <top/>
      <bottom style="thin">
        <color rgb="FFE2E2E2"/>
      </bottom>
      <diagonal/>
    </border>
    <border>
      <left/>
      <right/>
      <top/>
      <bottom/>
      <diagonal/>
    </border>
    <border>
      <left/>
      <right/>
      <top/>
      <bottom style="thin">
        <color rgb="FF5A1E2A"/>
      </bottom>
      <diagonal/>
    </border>
    <border>
      <left/>
      <right/>
      <top/>
      <bottom style="thin">
        <color rgb="FF3B3B3B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8" fillId="0" borderId="0" xfId="0" applyFont="1" applyAlignment="1">
      <alignment horizontal="left"/>
    </xf>
    <xf numFmtId="0" fontId="0" fillId="0" borderId="1" xfId="0" applyBorder="1"/>
    <xf numFmtId="0" fontId="4" fillId="2" borderId="0" xfId="0" applyFont="1" applyFill="1" applyAlignment="1">
      <alignment horizontal="center" vertical="center"/>
    </xf>
    <xf numFmtId="168" fontId="4" fillId="2" borderId="0" xfId="0" applyNumberFormat="1" applyFont="1" applyFill="1" applyAlignment="1">
      <alignment horizontal="center" vertical="center"/>
    </xf>
    <xf numFmtId="168" fontId="5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4" xfId="0" applyBorder="1"/>
    <xf numFmtId="0" fontId="9" fillId="0" borderId="4" xfId="0" applyFont="1" applyBorder="1" applyAlignment="1">
      <alignment horizontal="left" vertical="top"/>
    </xf>
    <xf numFmtId="0" fontId="11" fillId="2" borderId="5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left" vertical="center"/>
    </xf>
    <xf numFmtId="165" fontId="6" fillId="2" borderId="1" xfId="0" applyNumberFormat="1" applyFont="1" applyFill="1" applyBorder="1" applyAlignment="1">
      <alignment horizontal="right" vertical="center"/>
    </xf>
    <xf numFmtId="14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0" fontId="15" fillId="0" borderId="2" xfId="0" applyFont="1" applyBorder="1" applyAlignment="1">
      <alignment horizontal="center" vertical="center"/>
    </xf>
    <xf numFmtId="165" fontId="15" fillId="0" borderId="2" xfId="0" applyNumberFormat="1" applyFont="1" applyBorder="1" applyAlignment="1">
      <alignment horizontal="right" vertical="center"/>
    </xf>
    <xf numFmtId="165" fontId="12" fillId="2" borderId="1" xfId="0" applyNumberFormat="1" applyFont="1" applyFill="1" applyBorder="1" applyAlignment="1">
      <alignment horizontal="right" vertical="center"/>
    </xf>
    <xf numFmtId="166" fontId="6" fillId="2" borderId="1" xfId="0" applyNumberFormat="1" applyFont="1" applyFill="1" applyBorder="1" applyAlignment="1">
      <alignment horizontal="right" vertical="center" indent="1"/>
    </xf>
    <xf numFmtId="0" fontId="13" fillId="2" borderId="1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165" fontId="6" fillId="2" borderId="0" xfId="0" applyNumberFormat="1" applyFont="1" applyFill="1" applyAlignment="1">
      <alignment horizontal="right" vertical="center"/>
    </xf>
    <xf numFmtId="165" fontId="6" fillId="2" borderId="0" xfId="0" applyNumberFormat="1" applyFont="1" applyFill="1" applyAlignment="1">
      <alignment horizontal="right" vertical="center" indent="1"/>
    </xf>
    <xf numFmtId="0" fontId="19" fillId="2" borderId="5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14" fillId="2" borderId="1" xfId="0" applyFont="1" applyFill="1" applyBorder="1" applyAlignment="1">
      <alignment horizontal="center" vertical="center"/>
    </xf>
    <xf numFmtId="166" fontId="6" fillId="2" borderId="0" xfId="0" applyNumberFormat="1" applyFont="1" applyFill="1" applyAlignment="1">
      <alignment horizontal="right" vertical="center" indent="1"/>
    </xf>
    <xf numFmtId="0" fontId="16" fillId="0" borderId="1" xfId="0" applyFont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4" fillId="0" borderId="0" xfId="0" applyFont="1"/>
    <xf numFmtId="14" fontId="14" fillId="0" borderId="0" xfId="0" applyNumberFormat="1" applyFont="1"/>
    <xf numFmtId="0" fontId="12" fillId="2" borderId="0" xfId="0" applyFont="1" applyFill="1" applyAlignment="1">
      <alignment horizontal="right" vertical="center" indent="1"/>
    </xf>
    <xf numFmtId="166" fontId="6" fillId="2" borderId="0" xfId="0" applyNumberFormat="1" applyFont="1" applyFill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15" fillId="2" borderId="6" xfId="0" applyFont="1" applyFill="1" applyBorder="1" applyAlignment="1">
      <alignment horizontal="left" vertical="center"/>
    </xf>
    <xf numFmtId="168" fontId="15" fillId="2" borderId="6" xfId="0" applyNumberFormat="1" applyFont="1" applyFill="1" applyBorder="1" applyAlignment="1">
      <alignment horizontal="right" vertical="center"/>
    </xf>
    <xf numFmtId="165" fontId="15" fillId="2" borderId="6" xfId="0" applyNumberFormat="1" applyFont="1" applyFill="1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14" fillId="2" borderId="0" xfId="0" applyFont="1" applyFill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0" fillId="0" borderId="0" xfId="0"/>
    <xf numFmtId="0" fontId="3" fillId="2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wrapText="1"/>
    </xf>
    <xf numFmtId="0" fontId="0" fillId="0" borderId="3" xfId="0" applyBorder="1"/>
    <xf numFmtId="167" fontId="2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</cellXfs>
  <cellStyles count="1">
    <cellStyle name="Normal" xfId="0" builtinId="0"/>
  </cellStyles>
  <dxfs count="20">
    <dxf>
      <font>
        <color rgb="FF5A1E2A"/>
      </font>
    </dxf>
    <dxf>
      <font>
        <color rgb="FF5A1E2A"/>
      </font>
    </dxf>
    <dxf>
      <font>
        <color rgb="FF3B3B3B"/>
      </font>
      <fill>
        <patternFill patternType="solid">
          <fgColor rgb="FFEAEAEA"/>
          <bgColor rgb="FFEAEAEA"/>
        </patternFill>
      </fill>
    </dxf>
    <dxf>
      <font>
        <color rgb="FF000000"/>
      </font>
      <fill>
        <patternFill patternType="solid">
          <fgColor rgb="FFECECEC"/>
          <bgColor rgb="FFECECEC"/>
        </patternFill>
      </fill>
    </dxf>
    <dxf>
      <border>
        <left style="medium">
          <color rgb="FF5A1E2A"/>
        </left>
      </border>
    </dxf>
    <dxf>
      <font>
        <color rgb="FF000000"/>
      </font>
      <fill>
        <patternFill patternType="solid">
          <fgColor rgb="FFEAEAEA"/>
          <bgColor rgb="FFEAEAEA"/>
        </patternFill>
      </fill>
    </dxf>
    <dxf>
      <font>
        <color rgb="FF000000"/>
      </font>
      <fill>
        <patternFill patternType="solid">
          <fgColor rgb="FFECECEC"/>
          <bgColor rgb="FFECECEC"/>
        </patternFill>
      </fill>
    </dxf>
    <dxf>
      <font>
        <color rgb="FF3A1018"/>
      </font>
      <fill>
        <patternFill patternType="solid">
          <fgColor rgb="FFE7D2D7"/>
          <bgColor rgb="FFE7D2D7"/>
        </patternFill>
      </fill>
    </dxf>
    <dxf>
      <font>
        <color rgb="FF3A1018"/>
      </font>
      <fill>
        <patternFill patternType="solid">
          <fgColor rgb="FFE7D2D7"/>
          <bgColor rgb="FFE7D2D7"/>
        </patternFill>
      </fill>
    </dxf>
    <dxf>
      <font>
        <color rgb="FF3A1018"/>
      </font>
      <fill>
        <patternFill patternType="solid">
          <fgColor rgb="FFE7D2D7"/>
          <bgColor rgb="FFE7D2D7"/>
        </patternFill>
      </fill>
    </dxf>
    <dxf>
      <font>
        <color rgb="FF3B3B3B"/>
      </font>
      <fill>
        <patternFill patternType="solid">
          <fgColor rgb="FFEAEAEA"/>
          <bgColor rgb="FFEAEAEA"/>
        </patternFill>
      </fill>
    </dxf>
    <dxf>
      <font>
        <color rgb="FF000000"/>
      </font>
      <fill>
        <patternFill patternType="solid">
          <fgColor rgb="FFEFE2E5"/>
          <bgColor rgb="FFEFE2E5"/>
        </patternFill>
      </fill>
    </dxf>
    <dxf>
      <font>
        <color rgb="FF000000"/>
      </font>
      <fill>
        <patternFill patternType="solid">
          <fgColor rgb="FFECECEC"/>
          <bgColor rgb="FFECECEC"/>
        </patternFill>
      </fill>
    </dxf>
    <dxf>
      <font>
        <color rgb="FF5A1E2A"/>
      </font>
    </dxf>
    <dxf>
      <font>
        <color rgb="FF000000"/>
      </font>
      <fill>
        <patternFill patternType="solid">
          <fgColor rgb="FFEFE2E5"/>
          <bgColor rgb="FFEFE2E5"/>
        </patternFill>
      </fill>
    </dxf>
    <dxf>
      <font>
        <color rgb="FF3A1018"/>
      </font>
      <fill>
        <patternFill patternType="solid">
          <fgColor rgb="FFE7D2D7"/>
          <bgColor rgb="FFE7D2D7"/>
        </patternFill>
      </fill>
    </dxf>
    <dxf>
      <font>
        <color rgb="FF3A1018"/>
      </font>
      <fill>
        <patternFill patternType="solid">
          <fgColor rgb="FFE7D2D7"/>
          <bgColor rgb="FFE7D2D7"/>
        </patternFill>
      </fill>
    </dxf>
    <dxf>
      <font>
        <color rgb="FF3B3B3B"/>
      </font>
      <fill>
        <patternFill patternType="solid">
          <fgColor rgb="FFEAEAEA"/>
          <bgColor rgb="FFEAEAEA"/>
        </patternFill>
      </fill>
    </dxf>
    <dxf>
      <font>
        <color rgb="FF000000"/>
      </font>
      <fill>
        <patternFill patternType="solid">
          <fgColor rgb="FFEFE2E5"/>
          <bgColor rgb="FFEFE2E5"/>
        </patternFill>
      </fill>
    </dxf>
    <dxf>
      <font>
        <color rgb="FF000000"/>
      </font>
      <fill>
        <patternFill patternType="solid">
          <fgColor rgb="FFECECEC"/>
          <bgColor rgb="FFECECE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Receita mensal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Financeiro!$AC$1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solidFill>
                <a:srgbClr val="5A1E2A"/>
              </a:solidFill>
              <a:prstDash val="solid"/>
            </a:ln>
          </c:spPr>
          <c:marker>
            <c:symbol val="none"/>
          </c:marker>
          <c:cat>
            <c:strRef>
              <c:f>Financeiro!$AB$2:$AB$6</c:f>
              <c:strCache>
                <c:ptCount val="5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</c:strCache>
            </c:strRef>
          </c:cat>
          <c:val>
            <c:numRef>
              <c:f>Financeiro!$AC$2:$AC$6</c:f>
              <c:numCache>
                <c:formatCode>General</c:formatCode>
                <c:ptCount val="5"/>
                <c:pt idx="0">
                  <c:v>720</c:v>
                </c:pt>
                <c:pt idx="1">
                  <c:v>690</c:v>
                </c:pt>
                <c:pt idx="2">
                  <c:v>690</c:v>
                </c:pt>
                <c:pt idx="3">
                  <c:v>690</c:v>
                </c:pt>
                <c:pt idx="4">
                  <c:v>870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5-4E4C-887D-8F2652CB4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Receita x Despesa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Financeiro!$AF$1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9A9A9A"/>
            </a:solidFill>
            <a:ln>
              <a:solidFill>
                <a:srgbClr val="9A9A9A"/>
              </a:solidFill>
              <a:prstDash val="solid"/>
            </a:ln>
          </c:spPr>
          <c:invertIfNegative val="1"/>
          <c:cat>
            <c:strRef>
              <c:f>Financeiro!$AE$2:$AE$3</c:f>
              <c:strCache>
                <c:ptCount val="2"/>
                <c:pt idx="0">
                  <c:v>Receita</c:v>
                </c:pt>
                <c:pt idx="1">
                  <c:v>Despesa</c:v>
                </c:pt>
              </c:strCache>
            </c:strRef>
          </c:cat>
          <c:val>
            <c:numRef>
              <c:f>Financeiro!$AF$2:$AF$3</c:f>
              <c:numCache>
                <c:formatCode>General</c:formatCode>
                <c:ptCount val="2"/>
                <c:pt idx="0">
                  <c:v>3660</c:v>
                </c:pt>
                <c:pt idx="1">
                  <c:v>1459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9A9A9A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567-4850-93DA-C0D02FB3D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Pago x Pendente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Financeiro!$AI$1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5A1E2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4DE-4A18-A75A-9800AF6AD903}"/>
              </c:ext>
            </c:extLst>
          </c:dPt>
          <c:dPt>
            <c:idx val="1"/>
            <c:bubble3D val="0"/>
            <c:spPr>
              <a:solidFill>
                <a:srgbClr val="9A9A9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4DE-4A18-A75A-9800AF6AD90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Financeiro!$AH$2:$AH$3</c:f>
              <c:strCache>
                <c:ptCount val="2"/>
                <c:pt idx="0">
                  <c:v>Pago</c:v>
                </c:pt>
                <c:pt idx="1">
                  <c:v>Pendente</c:v>
                </c:pt>
              </c:strCache>
            </c:strRef>
          </c:cat>
          <c:val>
            <c:numRef>
              <c:f>Financeiro!$AI$2:$AI$3</c:f>
              <c:numCache>
                <c:formatCode>General</c:formatCode>
                <c:ptCount val="2"/>
                <c:pt idx="0">
                  <c:v>3660</c:v>
                </c:pt>
                <c:pt idx="1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DE-4A18-A75A-9800AF6AD90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1"/>
          <c:showLeaderLines val="1"/>
        </c:dLbls>
        <c:firstSliceAng val="0"/>
        <c:holeSize val="58"/>
      </c:doughnutChart>
    </c:plotArea>
    <c:legend>
      <c:legendPos val="r"/>
      <c:overlay val="1"/>
    </c:legend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Evolução acumulada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Financeiro!$AL$1</c:f>
              <c:strCache>
                <c:ptCount val="1"/>
                <c:pt idx="0">
                  <c:v>Acumulado</c:v>
                </c:pt>
              </c:strCache>
            </c:strRef>
          </c:tx>
          <c:spPr>
            <a:ln>
              <a:solidFill>
                <a:srgbClr val="5A1E2A"/>
              </a:solidFill>
              <a:prstDash val="solid"/>
            </a:ln>
          </c:spPr>
          <c:marker>
            <c:symbol val="none"/>
          </c:marker>
          <c:cat>
            <c:strRef>
              <c:f>Financeiro!$AK$2:$AK$6</c:f>
              <c:strCache>
                <c:ptCount val="5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</c:strCache>
            </c:strRef>
          </c:cat>
          <c:val>
            <c:numRef>
              <c:f>Financeiro!$AL$2:$AL$6</c:f>
              <c:numCache>
                <c:formatCode>General</c:formatCode>
                <c:ptCount val="5"/>
                <c:pt idx="0">
                  <c:v>720</c:v>
                </c:pt>
                <c:pt idx="1">
                  <c:v>1410</c:v>
                </c:pt>
                <c:pt idx="2">
                  <c:v>2100</c:v>
                </c:pt>
                <c:pt idx="3">
                  <c:v>2790</c:v>
                </c:pt>
                <c:pt idx="4">
                  <c:v>3660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4-4D4E-9A11-E965A5BC1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Distribuição por forma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Financeiro!$AO$1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6B6B6B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23A0-4D00-A386-1B561CA168DA}"/>
              </c:ext>
            </c:extLst>
          </c:dPt>
          <c:dPt>
            <c:idx val="1"/>
            <c:bubble3D val="0"/>
            <c:spPr>
              <a:solidFill>
                <a:srgbClr val="9A9A9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23A0-4D00-A386-1B561CA168DA}"/>
              </c:ext>
            </c:extLst>
          </c:dPt>
          <c:dPt>
            <c:idx val="2"/>
            <c:bubble3D val="0"/>
            <c:spPr>
              <a:solidFill>
                <a:srgbClr val="5A1E2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23A0-4D00-A386-1B561CA168DA}"/>
              </c:ext>
            </c:extLst>
          </c:dPt>
          <c:dPt>
            <c:idx val="3"/>
            <c:bubble3D val="0"/>
            <c:spPr>
              <a:solidFill>
                <a:srgbClr val="EAEA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23A0-4D00-A386-1B561CA168DA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Financeiro!$AN$2:$AN$5</c:f>
              <c:strCache>
                <c:ptCount val="4"/>
                <c:pt idx="0">
                  <c:v>Pix</c:v>
                </c:pt>
                <c:pt idx="1">
                  <c:v>Dinheiro</c:v>
                </c:pt>
                <c:pt idx="2">
                  <c:v>Cartão</c:v>
                </c:pt>
                <c:pt idx="3">
                  <c:v>Convênio</c:v>
                </c:pt>
              </c:strCache>
            </c:strRef>
          </c:cat>
          <c:val>
            <c:numRef>
              <c:f>Financeiro!$AO$2:$AO$5</c:f>
              <c:numCache>
                <c:formatCode>General</c:formatCode>
                <c:ptCount val="4"/>
                <c:pt idx="0">
                  <c:v>2360</c:v>
                </c:pt>
                <c:pt idx="1">
                  <c:v>600</c:v>
                </c:pt>
                <c:pt idx="2">
                  <c:v>1260</c:v>
                </c:pt>
                <c:pt idx="3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A0-4D00-A386-1B561CA168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1"/>
          <c:showLeaderLines val="1"/>
        </c:dLbls>
        <c:firstSliceAng val="0"/>
        <c:holeSize val="58"/>
      </c:doughnutChart>
    </c:plotArea>
    <c:legend>
      <c:legendPos val="r"/>
      <c:overlay val="1"/>
    </c:legend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Aniversariantes por mês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Aniversariantes!$AC$1</c:f>
              <c:strCache>
                <c:ptCount val="1"/>
                <c:pt idx="0">
                  <c:v>Qtd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EAEA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1AF3-40B4-A1DC-C98249427354}"/>
              </c:ext>
            </c:extLst>
          </c:dPt>
          <c:dPt>
            <c:idx val="1"/>
            <c:bubble3D val="0"/>
            <c:spPr>
              <a:solidFill>
                <a:srgbClr val="9A9A9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1AF3-40B4-A1DC-C98249427354}"/>
              </c:ext>
            </c:extLst>
          </c:dPt>
          <c:dPt>
            <c:idx val="2"/>
            <c:bubble3D val="0"/>
            <c:spPr>
              <a:solidFill>
                <a:srgbClr val="6B6B6B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1AF3-40B4-A1DC-C98249427354}"/>
              </c:ext>
            </c:extLst>
          </c:dPt>
          <c:dPt>
            <c:idx val="3"/>
            <c:bubble3D val="0"/>
            <c:spPr>
              <a:solidFill>
                <a:srgbClr val="5A1E2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1AF3-40B4-A1DC-C98249427354}"/>
              </c:ext>
            </c:extLst>
          </c:dPt>
          <c:dPt>
            <c:idx val="4"/>
            <c:bubble3D val="0"/>
            <c:spPr>
              <a:solidFill>
                <a:srgbClr val="EAEA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1AF3-40B4-A1DC-C98249427354}"/>
              </c:ext>
            </c:extLst>
          </c:dPt>
          <c:dPt>
            <c:idx val="5"/>
            <c:bubble3D val="0"/>
            <c:spPr>
              <a:solidFill>
                <a:srgbClr val="9A9A9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1AF3-40B4-A1DC-C98249427354}"/>
              </c:ext>
            </c:extLst>
          </c:dPt>
          <c:dPt>
            <c:idx val="6"/>
            <c:bubble3D val="0"/>
            <c:spPr>
              <a:solidFill>
                <a:srgbClr val="6B6B6B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1AF3-40B4-A1DC-C98249427354}"/>
              </c:ext>
            </c:extLst>
          </c:dPt>
          <c:dPt>
            <c:idx val="7"/>
            <c:bubble3D val="0"/>
            <c:spPr>
              <a:solidFill>
                <a:srgbClr val="5A1E2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1AF3-40B4-A1DC-C98249427354}"/>
              </c:ext>
            </c:extLst>
          </c:dPt>
          <c:dPt>
            <c:idx val="8"/>
            <c:bubble3D val="0"/>
            <c:spPr>
              <a:solidFill>
                <a:srgbClr val="EAEA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1AF3-40B4-A1DC-C98249427354}"/>
              </c:ext>
            </c:extLst>
          </c:dPt>
          <c:dPt>
            <c:idx val="9"/>
            <c:bubble3D val="0"/>
            <c:spPr>
              <a:solidFill>
                <a:srgbClr val="9A9A9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1AF3-40B4-A1DC-C98249427354}"/>
              </c:ext>
            </c:extLst>
          </c:dPt>
          <c:dPt>
            <c:idx val="10"/>
            <c:bubble3D val="0"/>
            <c:spPr>
              <a:solidFill>
                <a:srgbClr val="6B6B6B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1AF3-40B4-A1DC-C98249427354}"/>
              </c:ext>
            </c:extLst>
          </c:dPt>
          <c:dPt>
            <c:idx val="11"/>
            <c:bubble3D val="0"/>
            <c:spPr>
              <a:solidFill>
                <a:srgbClr val="5A1E2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1AF3-40B4-A1DC-C98249427354}"/>
              </c:ext>
            </c:extLst>
          </c:dPt>
          <c:cat>
            <c:strRef>
              <c:f>Aniversariantes!$AB$2:$AB$13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Aniversariantes!$AC$2:$AC$13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AF3-40B4-A1DC-C98249427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</c:plotArea>
    <c:legend>
      <c:legendPos val="r"/>
      <c:overlay val="1"/>
    </c:legend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Evolução da receita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strRef>
              <c:f>Relatórios!$AC$1</c:f>
              <c:strCache>
                <c:ptCount val="1"/>
                <c:pt idx="0">
                  <c:v>Receita</c:v>
                </c:pt>
              </c:strCache>
            </c:strRef>
          </c:tx>
          <c:spPr>
            <a:ln>
              <a:solidFill>
                <a:srgbClr val="5A1E2A"/>
              </a:solidFill>
              <a:prstDash val="solid"/>
            </a:ln>
          </c:spPr>
          <c:marker>
            <c:symbol val="none"/>
          </c:marker>
          <c:cat>
            <c:strRef>
              <c:f>Relatórios!$AB$2:$AB$6</c:f>
              <c:strCache>
                <c:ptCount val="5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</c:strCache>
            </c:strRef>
          </c:cat>
          <c:val>
            <c:numRef>
              <c:f>Relatórios!$AC$2:$AC$6</c:f>
              <c:numCache>
                <c:formatCode>General</c:formatCode>
                <c:ptCount val="5"/>
                <c:pt idx="0">
                  <c:v>720</c:v>
                </c:pt>
                <c:pt idx="1">
                  <c:v>690</c:v>
                </c:pt>
                <c:pt idx="2">
                  <c:v>690</c:v>
                </c:pt>
                <c:pt idx="3">
                  <c:v>690</c:v>
                </c:pt>
                <c:pt idx="4">
                  <c:v>870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70A-BE0B-F7DC87E2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Atendimentos por mês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Relatórios!$AF$1</c:f>
              <c:strCache>
                <c:ptCount val="1"/>
                <c:pt idx="0">
                  <c:v>Atend.</c:v>
                </c:pt>
              </c:strCache>
            </c:strRef>
          </c:tx>
          <c:spPr>
            <a:solidFill>
              <a:srgbClr val="9A9A9A"/>
            </a:solidFill>
            <a:ln>
              <a:solidFill>
                <a:srgbClr val="9A9A9A"/>
              </a:solidFill>
              <a:prstDash val="solid"/>
            </a:ln>
          </c:spPr>
          <c:invertIfNegative val="1"/>
          <c:cat>
            <c:strRef>
              <c:f>Relatórios!$AE$2:$AE$7</c:f>
              <c:strCache>
                <c:ptCount val="6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</c:strCache>
            </c:strRef>
          </c:cat>
          <c:val>
            <c:numRef>
              <c:f>Relatórios!$AF$2:$AF$7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solidFill>
                      <a:srgbClr val="9A9A9A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17E-44F8-8E93-150088EA9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800">
                <a:solidFill>
                  <a:srgbClr val="3B3B3B"/>
                </a:solidFill>
                <a:latin typeface="Poppins Light"/>
              </a:defRPr>
            </a:pPr>
            <a:endParaRPr lang="pt-BR"/>
          </a:p>
        </c:txPr>
        <c:crossAx val="10"/>
        <c:crosses val="autoZero"/>
        <c:crossBetween val="between"/>
      </c:valAx>
    </c:plotArea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 sz="1100" b="0" i="0">
                <a:solidFill>
                  <a:srgbClr val="3B3B3B"/>
                </a:solidFill>
                <a:latin typeface="Playfair Display"/>
              </a:defRPr>
            </a:pPr>
            <a:r>
              <a:rPr sz="1100" b="0" i="0">
                <a:solidFill>
                  <a:srgbClr val="3B3B3B"/>
                </a:solidFill>
                <a:latin typeface="Playfair Display"/>
              </a:rPr>
              <a:t>Receita por convênio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Relatórios!$AI$1</c:f>
              <c:strCache>
                <c:ptCount val="1"/>
                <c:pt idx="0">
                  <c:v>Valor</c:v>
                </c:pt>
              </c:strCache>
            </c:strRef>
          </c:tx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6B6B6B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4F1-4CAE-AC33-74D7185E5E8E}"/>
              </c:ext>
            </c:extLst>
          </c:dPt>
          <c:dPt>
            <c:idx val="1"/>
            <c:bubble3D val="0"/>
            <c:spPr>
              <a:solidFill>
                <a:srgbClr val="9A9A9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4F1-4CAE-AC33-74D7185E5E8E}"/>
              </c:ext>
            </c:extLst>
          </c:dPt>
          <c:dPt>
            <c:idx val="2"/>
            <c:bubble3D val="0"/>
            <c:spPr>
              <a:solidFill>
                <a:srgbClr val="5A1E2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54F1-4CAE-AC33-74D7185E5E8E}"/>
              </c:ext>
            </c:extLst>
          </c:dPt>
          <c:dPt>
            <c:idx val="3"/>
            <c:bubble3D val="0"/>
            <c:spPr>
              <a:solidFill>
                <a:srgbClr val="EAEAEA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54F1-4CAE-AC33-74D7185E5E8E}"/>
              </c:ext>
            </c:extLst>
          </c:dPt>
          <c:dPt>
            <c:idx val="4"/>
            <c:bubble3D val="0"/>
            <c:spPr>
              <a:solidFill>
                <a:srgbClr val="000000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54F1-4CAE-AC33-74D7185E5E8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Relatórios!$AH$2:$AH$6</c:f>
              <c:strCache>
                <c:ptCount val="5"/>
                <c:pt idx="0">
                  <c:v>Particular</c:v>
                </c:pt>
                <c:pt idx="1">
                  <c:v>Unimed</c:v>
                </c:pt>
                <c:pt idx="2">
                  <c:v>Bradesco</c:v>
                </c:pt>
                <c:pt idx="3">
                  <c:v>SulAmérica</c:v>
                </c:pt>
                <c:pt idx="4">
                  <c:v>Outros</c:v>
                </c:pt>
              </c:strCache>
            </c:strRef>
          </c:cat>
          <c:val>
            <c:numRef>
              <c:f>Relatórios!$AI$2:$AI$6</c:f>
              <c:numCache>
                <c:formatCode>General</c:formatCode>
                <c:ptCount val="5"/>
                <c:pt idx="0">
                  <c:v>860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4F1-4CAE-AC33-74D7185E5E8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1"/>
          <c:showLeaderLines val="1"/>
        </c:dLbls>
        <c:firstSliceAng val="0"/>
        <c:holeSize val="58"/>
      </c:doughnutChart>
    </c:plotArea>
    <c:legend>
      <c:legendPos val="r"/>
      <c:overlay val="1"/>
    </c:legend>
    <c:plotVisOnly val="0"/>
    <c:dispBlanksAs val="gap"/>
    <c:showDLblsOverMax val="1"/>
  </c:chart>
  <c:spPr>
    <a:ln>
      <a:solidFill>
        <a:srgbClr val="E2E2E2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</xdr:col>
      <xdr:colOff>1428750</xdr:colOff>
      <xdr:row>10</xdr:row>
      <xdr:rowOff>533400</xdr:rowOff>
    </xdr:to>
    <xdr:sp macro="IrFinanceiro" textlink="">
      <xdr:nvSpPr>
        <xdr:cNvPr id="2" name="btn_IrFinanceiro_MenuIn">
          <a:extLst>
            <a:ext uri="{FF2B5EF4-FFF2-40B4-BE49-F238E27FC236}">
              <a16:creationId xmlns:a16="http://schemas.microsoft.com/office/drawing/2014/main" id="{498E31AB-F869-49F3-B87B-50EE57BC2AFD}"/>
            </a:ext>
          </a:extLst>
        </xdr:cNvPr>
        <xdr:cNvSpPr/>
      </xdr:nvSpPr>
      <xdr:spPr>
        <a:xfrm>
          <a:off x="200025" y="3019425"/>
          <a:ext cx="1428750" cy="533400"/>
        </a:xfrm>
        <a:prstGeom prst="roundRect">
          <a:avLst/>
        </a:prstGeom>
        <a:solidFill>
          <a:srgbClr val="FFFFFF"/>
        </a:solidFill>
        <a:ln w="9525">
          <a:solidFill>
            <a:srgbClr val="3B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5A1E2A"/>
              </a:solidFill>
              <a:latin typeface="Segoe MDL2 Assets" panose="050A0102010101010101" pitchFamily="18" charset="0"/>
            </a:rPr>
            <a:t></a:t>
          </a:r>
          <a:r>
            <a:rPr lang="pt-BR" sz="1100">
              <a:solidFill>
                <a:srgbClr val="000000"/>
              </a:solidFill>
              <a:latin typeface="Poppins Light" panose="00000400000000000000" pitchFamily="2" charset="0"/>
            </a:rPr>
            <a:t>  Financeiro</a:t>
          </a: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1428750</xdr:colOff>
      <xdr:row>10</xdr:row>
      <xdr:rowOff>533400</xdr:rowOff>
    </xdr:to>
    <xdr:sp macro="IrPacientes" textlink="">
      <xdr:nvSpPr>
        <xdr:cNvPr id="3" name="btn_IrPacientes_MenuIn">
          <a:extLst>
            <a:ext uri="{FF2B5EF4-FFF2-40B4-BE49-F238E27FC236}">
              <a16:creationId xmlns:a16="http://schemas.microsoft.com/office/drawing/2014/main" id="{AAD0A2F3-820E-430D-AC04-7088A1842F5B}"/>
            </a:ext>
          </a:extLst>
        </xdr:cNvPr>
        <xdr:cNvSpPr/>
      </xdr:nvSpPr>
      <xdr:spPr>
        <a:xfrm>
          <a:off x="1666875" y="3019425"/>
          <a:ext cx="1428750" cy="533400"/>
        </a:xfrm>
        <a:prstGeom prst="roundRect">
          <a:avLst/>
        </a:prstGeom>
        <a:solidFill>
          <a:srgbClr val="FFFFFF"/>
        </a:solidFill>
        <a:ln w="9525">
          <a:solidFill>
            <a:srgbClr val="3B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5A1E2A"/>
              </a:solidFill>
              <a:latin typeface="Segoe MDL2 Assets" panose="050A0102010101010101" pitchFamily="18" charset="0"/>
            </a:rPr>
            <a:t></a:t>
          </a:r>
          <a:r>
            <a:rPr lang="pt-BR" sz="1100">
              <a:solidFill>
                <a:srgbClr val="000000"/>
              </a:solidFill>
              <a:latin typeface="Poppins Light" panose="00000400000000000000" pitchFamily="2" charset="0"/>
            </a:rPr>
            <a:t>  Pacientes</a:t>
          </a:r>
        </a:p>
      </xdr:txBody>
    </xdr:sp>
    <xdr:clientData/>
  </xdr:twoCellAnchor>
  <xdr:twoCellAnchor>
    <xdr:from>
      <xdr:col>3</xdr:col>
      <xdr:colOff>0</xdr:colOff>
      <xdr:row>10</xdr:row>
      <xdr:rowOff>0</xdr:rowOff>
    </xdr:from>
    <xdr:to>
      <xdr:col>3</xdr:col>
      <xdr:colOff>1428750</xdr:colOff>
      <xdr:row>10</xdr:row>
      <xdr:rowOff>533400</xdr:rowOff>
    </xdr:to>
    <xdr:sp macro="IrCalendario" textlink="">
      <xdr:nvSpPr>
        <xdr:cNvPr id="4" name="btn_IrCalendario_MenuIn">
          <a:extLst>
            <a:ext uri="{FF2B5EF4-FFF2-40B4-BE49-F238E27FC236}">
              <a16:creationId xmlns:a16="http://schemas.microsoft.com/office/drawing/2014/main" id="{57A7E37C-F801-401B-AA97-87F0057B53BA}"/>
            </a:ext>
          </a:extLst>
        </xdr:cNvPr>
        <xdr:cNvSpPr/>
      </xdr:nvSpPr>
      <xdr:spPr>
        <a:xfrm>
          <a:off x="3133725" y="3019425"/>
          <a:ext cx="1428750" cy="533400"/>
        </a:xfrm>
        <a:prstGeom prst="roundRect">
          <a:avLst/>
        </a:prstGeom>
        <a:solidFill>
          <a:srgbClr val="FFFFFF"/>
        </a:solidFill>
        <a:ln w="9525">
          <a:solidFill>
            <a:srgbClr val="3B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5A1E2A"/>
              </a:solidFill>
              <a:latin typeface="Segoe MDL2 Assets" panose="050A0102010101010101" pitchFamily="18" charset="0"/>
            </a:rPr>
            <a:t></a:t>
          </a:r>
          <a:r>
            <a:rPr lang="pt-BR" sz="1100">
              <a:solidFill>
                <a:srgbClr val="000000"/>
              </a:solidFill>
              <a:latin typeface="Poppins Light" panose="00000400000000000000" pitchFamily="2" charset="0"/>
            </a:rPr>
            <a:t>  Calendário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</xdr:col>
      <xdr:colOff>1428750</xdr:colOff>
      <xdr:row>12</xdr:row>
      <xdr:rowOff>533400</xdr:rowOff>
    </xdr:to>
    <xdr:sp macro="IrAniversariantes" textlink="">
      <xdr:nvSpPr>
        <xdr:cNvPr id="5" name="btn_IrAniversariantes_MenuIn">
          <a:extLst>
            <a:ext uri="{FF2B5EF4-FFF2-40B4-BE49-F238E27FC236}">
              <a16:creationId xmlns:a16="http://schemas.microsoft.com/office/drawing/2014/main" id="{B8F45297-A055-412B-A2EC-AE7A1C43ED4A}"/>
            </a:ext>
          </a:extLst>
        </xdr:cNvPr>
        <xdr:cNvSpPr/>
      </xdr:nvSpPr>
      <xdr:spPr>
        <a:xfrm>
          <a:off x="200025" y="3876675"/>
          <a:ext cx="1428750" cy="533400"/>
        </a:xfrm>
        <a:prstGeom prst="roundRect">
          <a:avLst/>
        </a:prstGeom>
        <a:solidFill>
          <a:srgbClr val="FFFFFF"/>
        </a:solidFill>
        <a:ln w="9525">
          <a:solidFill>
            <a:srgbClr val="3B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5A1E2A"/>
              </a:solidFill>
              <a:latin typeface="Segoe MDL2 Assets" panose="050A0102010101010101" pitchFamily="18" charset="0"/>
            </a:rPr>
            <a:t></a:t>
          </a:r>
          <a:r>
            <a:rPr lang="pt-BR" sz="1100">
              <a:solidFill>
                <a:srgbClr val="000000"/>
              </a:solidFill>
              <a:latin typeface="Poppins Light" panose="00000400000000000000" pitchFamily="2" charset="0"/>
            </a:rPr>
            <a:t>  Aniversariantes</a:t>
          </a:r>
        </a:p>
      </xdr:txBody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1428750</xdr:colOff>
      <xdr:row>12</xdr:row>
      <xdr:rowOff>533400</xdr:rowOff>
    </xdr:to>
    <xdr:sp macro="IrRelatorios" textlink="">
      <xdr:nvSpPr>
        <xdr:cNvPr id="6" name="btn_IrRelatorios_MenuIn">
          <a:extLst>
            <a:ext uri="{FF2B5EF4-FFF2-40B4-BE49-F238E27FC236}">
              <a16:creationId xmlns:a16="http://schemas.microsoft.com/office/drawing/2014/main" id="{35DB07E0-91B3-43A0-9ABB-BC44D7D0ED70}"/>
            </a:ext>
          </a:extLst>
        </xdr:cNvPr>
        <xdr:cNvSpPr/>
      </xdr:nvSpPr>
      <xdr:spPr>
        <a:xfrm>
          <a:off x="1666875" y="3876675"/>
          <a:ext cx="1428750" cy="533400"/>
        </a:xfrm>
        <a:prstGeom prst="roundRect">
          <a:avLst/>
        </a:prstGeom>
        <a:solidFill>
          <a:srgbClr val="FFFFFF"/>
        </a:solidFill>
        <a:ln w="9525">
          <a:solidFill>
            <a:srgbClr val="3B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5A1E2A"/>
              </a:solidFill>
              <a:latin typeface="Segoe MDL2 Assets" panose="050A0102010101010101" pitchFamily="18" charset="0"/>
            </a:rPr>
            <a:t></a:t>
          </a:r>
          <a:r>
            <a:rPr lang="pt-BR" sz="1100">
              <a:solidFill>
                <a:srgbClr val="000000"/>
              </a:solidFill>
              <a:latin typeface="Poppins Light" panose="00000400000000000000" pitchFamily="2" charset="0"/>
            </a:rPr>
            <a:t>  Relatórios</a:t>
          </a:r>
        </a:p>
      </xdr:txBody>
    </xdr:sp>
    <xdr:clientData/>
  </xdr:twoCellAnchor>
  <xdr:twoCellAnchor>
    <xdr:from>
      <xdr:col>3</xdr:col>
      <xdr:colOff>0</xdr:colOff>
      <xdr:row>12</xdr:row>
      <xdr:rowOff>0</xdr:rowOff>
    </xdr:from>
    <xdr:to>
      <xdr:col>3</xdr:col>
      <xdr:colOff>1428750</xdr:colOff>
      <xdr:row>12</xdr:row>
      <xdr:rowOff>533400</xdr:rowOff>
    </xdr:to>
    <xdr:sp macro="IrConfiguracoes" textlink="">
      <xdr:nvSpPr>
        <xdr:cNvPr id="7" name="btn_IrConfiguracoes_MenuIn">
          <a:extLst>
            <a:ext uri="{FF2B5EF4-FFF2-40B4-BE49-F238E27FC236}">
              <a16:creationId xmlns:a16="http://schemas.microsoft.com/office/drawing/2014/main" id="{5903F712-A588-4B58-8F04-D8DF1BB6011A}"/>
            </a:ext>
          </a:extLst>
        </xdr:cNvPr>
        <xdr:cNvSpPr/>
      </xdr:nvSpPr>
      <xdr:spPr>
        <a:xfrm>
          <a:off x="3133725" y="3876675"/>
          <a:ext cx="1428750" cy="533400"/>
        </a:xfrm>
        <a:prstGeom prst="roundRect">
          <a:avLst/>
        </a:prstGeom>
        <a:solidFill>
          <a:srgbClr val="FFFFFF"/>
        </a:solidFill>
        <a:ln w="9525">
          <a:solidFill>
            <a:srgbClr val="3B3B3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5A1E2A"/>
              </a:solidFill>
              <a:latin typeface="Segoe MDL2 Assets" panose="050A0102010101010101" pitchFamily="18" charset="0"/>
            </a:rPr>
            <a:t></a:t>
          </a:r>
          <a:r>
            <a:rPr lang="pt-BR" sz="1100">
              <a:solidFill>
                <a:srgbClr val="000000"/>
              </a:solidFill>
              <a:latin typeface="Poppins Light" panose="00000400000000000000" pitchFamily="2" charset="0"/>
            </a:rPr>
            <a:t>  Configurações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77</xdr:row>
      <xdr:rowOff>0</xdr:rowOff>
    </xdr:from>
    <xdr:ext cx="324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77</xdr:row>
      <xdr:rowOff>0</xdr:rowOff>
    </xdr:from>
    <xdr:ext cx="3240000" cy="21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9</xdr:col>
      <xdr:colOff>0</xdr:colOff>
      <xdr:row>77</xdr:row>
      <xdr:rowOff>0</xdr:rowOff>
    </xdr:from>
    <xdr:ext cx="3240000" cy="216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</xdr:col>
      <xdr:colOff>0</xdr:colOff>
      <xdr:row>95</xdr:row>
      <xdr:rowOff>0</xdr:rowOff>
    </xdr:from>
    <xdr:ext cx="3240000" cy="216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5</xdr:col>
      <xdr:colOff>0</xdr:colOff>
      <xdr:row>95</xdr:row>
      <xdr:rowOff>0</xdr:rowOff>
    </xdr:from>
    <xdr:ext cx="3240000" cy="216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twoCellAnchor>
    <xdr:from>
      <xdr:col>1</xdr:col>
      <xdr:colOff>0</xdr:colOff>
      <xdr:row>0</xdr:row>
      <xdr:rowOff>0</xdr:rowOff>
    </xdr:from>
    <xdr:to>
      <xdr:col>2</xdr:col>
      <xdr:colOff>180975</xdr:colOff>
      <xdr:row>1</xdr:row>
      <xdr:rowOff>0</xdr:rowOff>
    </xdr:to>
    <xdr:sp macro="IrMenu" textlink="">
      <xdr:nvSpPr>
        <xdr:cNvPr id="7" name="btn_IrMenu_Financ">
          <a:extLst>
            <a:ext uri="{FF2B5EF4-FFF2-40B4-BE49-F238E27FC236}">
              <a16:creationId xmlns:a16="http://schemas.microsoft.com/office/drawing/2014/main" id="{C57C1D5F-80DC-4DC0-B407-7E0B767F8756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F4F4F4"/>
        </a:solidFill>
        <a:ln w="9525">
          <a:solidFill>
            <a:srgbClr val="A6A6A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>
              <a:solidFill>
                <a:srgbClr val="5A1E2A"/>
              </a:solidFill>
              <a:latin typeface="Segoe MDL2 Assets" panose="050A0102010101010101" pitchFamily="18" charset="0"/>
            </a:rPr>
            <a:t></a:t>
          </a:r>
          <a:r>
            <a:rPr lang="pt-BR" sz="1000">
              <a:solidFill>
                <a:srgbClr val="000000"/>
              </a:solidFill>
              <a:latin typeface="Poppins Light" panose="00000400000000000000" pitchFamily="2" charset="0"/>
            </a:rPr>
            <a:t>  Menu</a:t>
          </a:r>
        </a:p>
      </xdr:txBody>
    </xdr:sp>
    <xdr:clientData/>
  </xdr:twoCellAnchor>
  <xdr:twoCellAnchor>
    <xdr:from>
      <xdr:col>11</xdr:col>
      <xdr:colOff>0</xdr:colOff>
      <xdr:row>12</xdr:row>
      <xdr:rowOff>0</xdr:rowOff>
    </xdr:from>
    <xdr:to>
      <xdr:col>11</xdr:col>
      <xdr:colOff>1428750</xdr:colOff>
      <xdr:row>13</xdr:row>
      <xdr:rowOff>38100</xdr:rowOff>
    </xdr:to>
    <xdr:sp macro="GerarRecibo" textlink="">
      <xdr:nvSpPr>
        <xdr:cNvPr id="8" name="btn_GerarRecibo_Financ">
          <a:extLst>
            <a:ext uri="{FF2B5EF4-FFF2-40B4-BE49-F238E27FC236}">
              <a16:creationId xmlns:a16="http://schemas.microsoft.com/office/drawing/2014/main" id="{E96243E8-737B-458E-857A-58C51FF87B50}"/>
            </a:ext>
          </a:extLst>
        </xdr:cNvPr>
        <xdr:cNvSpPr/>
      </xdr:nvSpPr>
      <xdr:spPr>
        <a:xfrm>
          <a:off x="10601325" y="3190875"/>
          <a:ext cx="14287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Segoe MDL2 Assets" panose="050A0102010101010101" pitchFamily="18" charset="0"/>
            </a:rPr>
            <a:t></a:t>
          </a:r>
          <a:r>
            <a:rPr lang="pt-BR" sz="1100">
              <a:solidFill>
                <a:srgbClr val="FFFFFF"/>
              </a:solidFill>
              <a:latin typeface="Poppins Light" panose="00000400000000000000" pitchFamily="2" charset="0"/>
            </a:rPr>
            <a:t>  Gerar Recibo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1047750</xdr:colOff>
      <xdr:row>1</xdr:row>
      <xdr:rowOff>0</xdr:rowOff>
    </xdr:to>
    <xdr:sp macro="IrMenu" textlink="">
      <xdr:nvSpPr>
        <xdr:cNvPr id="2" name="btn_IrMenu_Pacien">
          <a:extLst>
            <a:ext uri="{FF2B5EF4-FFF2-40B4-BE49-F238E27FC236}">
              <a16:creationId xmlns:a16="http://schemas.microsoft.com/office/drawing/2014/main" id="{EAD79101-5CE4-42F6-A667-962A2B95D2F0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F4F4F4"/>
        </a:solidFill>
        <a:ln w="9525">
          <a:solidFill>
            <a:srgbClr val="A6A6A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>
              <a:solidFill>
                <a:srgbClr val="5A1E2A"/>
              </a:solidFill>
              <a:latin typeface="Segoe MDL2 Assets" panose="050A0102010101010101" pitchFamily="18" charset="0"/>
            </a:rPr>
            <a:t></a:t>
          </a:r>
          <a:r>
            <a:rPr lang="pt-BR" sz="1000">
              <a:solidFill>
                <a:srgbClr val="000000"/>
              </a:solidFill>
              <a:latin typeface="Poppins Light" panose="00000400000000000000" pitchFamily="2" charset="0"/>
            </a:rPr>
            <a:t>  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447675</xdr:colOff>
      <xdr:row>1</xdr:row>
      <xdr:rowOff>0</xdr:rowOff>
    </xdr:to>
    <xdr:sp macro="IrMenu" textlink="">
      <xdr:nvSpPr>
        <xdr:cNvPr id="2" name="btn_IrMenu_Calend">
          <a:extLst>
            <a:ext uri="{FF2B5EF4-FFF2-40B4-BE49-F238E27FC236}">
              <a16:creationId xmlns:a16="http://schemas.microsoft.com/office/drawing/2014/main" id="{95198121-3DAC-4CAC-A21C-8973CD15F7C4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F4F4F4"/>
        </a:solidFill>
        <a:ln w="9525">
          <a:solidFill>
            <a:srgbClr val="A6A6A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>
              <a:solidFill>
                <a:srgbClr val="5A1E2A"/>
              </a:solidFill>
              <a:latin typeface="Segoe MDL2 Assets" panose="050A0102010101010101" pitchFamily="18" charset="0"/>
            </a:rPr>
            <a:t></a:t>
          </a:r>
          <a:r>
            <a:rPr lang="pt-BR" sz="1000">
              <a:solidFill>
                <a:srgbClr val="000000"/>
              </a:solidFill>
              <a:latin typeface="Poppins Light" panose="00000400000000000000" pitchFamily="2" charset="0"/>
            </a:rPr>
            <a:t>  Menu</a:t>
          </a:r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1238250</xdr:colOff>
      <xdr:row>23</xdr:row>
      <xdr:rowOff>95250</xdr:rowOff>
    </xdr:to>
    <xdr:sp macro="AbrirFormConsulta" textlink="">
      <xdr:nvSpPr>
        <xdr:cNvPr id="3" name="btn_AbrirFormConsulta_Calend">
          <a:extLst>
            <a:ext uri="{FF2B5EF4-FFF2-40B4-BE49-F238E27FC236}">
              <a16:creationId xmlns:a16="http://schemas.microsoft.com/office/drawing/2014/main" id="{6CE04EAB-F5AD-4EC8-A496-0D93C0408FB4}"/>
            </a:ext>
          </a:extLst>
        </xdr:cNvPr>
        <xdr:cNvSpPr/>
      </xdr:nvSpPr>
      <xdr:spPr>
        <a:xfrm>
          <a:off x="800100" y="7667625"/>
          <a:ext cx="1238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Segoe MDL2 Assets" panose="050A0102010101010101" pitchFamily="18" charset="0"/>
            </a:rPr>
            <a:t></a:t>
          </a:r>
          <a:r>
            <a:rPr lang="pt-BR" sz="1100">
              <a:solidFill>
                <a:srgbClr val="FFFFFF"/>
              </a:solidFill>
              <a:latin typeface="Poppins Light" panose="00000400000000000000" pitchFamily="2" charset="0"/>
            </a:rPr>
            <a:t>  Adicionar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4</xdr:col>
      <xdr:colOff>1238250</xdr:colOff>
      <xdr:row>23</xdr:row>
      <xdr:rowOff>95250</xdr:rowOff>
    </xdr:to>
    <xdr:sp macro="RemarcarConsulta" textlink="">
      <xdr:nvSpPr>
        <xdr:cNvPr id="4" name="btn_RemarcarConsulta_Calend">
          <a:extLst>
            <a:ext uri="{FF2B5EF4-FFF2-40B4-BE49-F238E27FC236}">
              <a16:creationId xmlns:a16="http://schemas.microsoft.com/office/drawing/2014/main" id="{E17313EE-188B-4844-B8BA-2F3AECB14AEF}"/>
            </a:ext>
          </a:extLst>
        </xdr:cNvPr>
        <xdr:cNvSpPr/>
      </xdr:nvSpPr>
      <xdr:spPr>
        <a:xfrm>
          <a:off x="3467100" y="7667625"/>
          <a:ext cx="1238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Segoe MDL2 Assets" panose="050A0102010101010101" pitchFamily="18" charset="0"/>
            </a:rPr>
            <a:t></a:t>
          </a:r>
          <a:r>
            <a:rPr lang="pt-BR" sz="1100">
              <a:solidFill>
                <a:srgbClr val="FFFFFF"/>
              </a:solidFill>
              <a:latin typeface="Poppins Light" panose="00000400000000000000" pitchFamily="2" charset="0"/>
            </a:rPr>
            <a:t>  Remarcar</a:t>
          </a:r>
        </a:p>
      </xdr:txBody>
    </xdr:sp>
    <xdr:clientData/>
  </xdr:twoCellAnchor>
  <xdr:twoCellAnchor>
    <xdr:from>
      <xdr:col>6</xdr:col>
      <xdr:colOff>0</xdr:colOff>
      <xdr:row>22</xdr:row>
      <xdr:rowOff>0</xdr:rowOff>
    </xdr:from>
    <xdr:to>
      <xdr:col>6</xdr:col>
      <xdr:colOff>1238250</xdr:colOff>
      <xdr:row>23</xdr:row>
      <xdr:rowOff>95250</xdr:rowOff>
    </xdr:to>
    <xdr:sp macro="FinalizarConsulta" textlink="">
      <xdr:nvSpPr>
        <xdr:cNvPr id="5" name="btn_FinalizarConsulta_Calend">
          <a:extLst>
            <a:ext uri="{FF2B5EF4-FFF2-40B4-BE49-F238E27FC236}">
              <a16:creationId xmlns:a16="http://schemas.microsoft.com/office/drawing/2014/main" id="{277C4C59-899A-466A-8023-29A64ABFE9FD}"/>
            </a:ext>
          </a:extLst>
        </xdr:cNvPr>
        <xdr:cNvSpPr/>
      </xdr:nvSpPr>
      <xdr:spPr>
        <a:xfrm>
          <a:off x="6134100" y="7667625"/>
          <a:ext cx="1238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Segoe MDL2 Assets" panose="050A0102010101010101" pitchFamily="18" charset="0"/>
            </a:rPr>
            <a:t></a:t>
          </a:r>
          <a:r>
            <a:rPr lang="pt-BR" sz="1100">
              <a:solidFill>
                <a:srgbClr val="FFFFFF"/>
              </a:solidFill>
              <a:latin typeface="Poppins Light" panose="00000400000000000000" pitchFamily="2" charset="0"/>
            </a:rPr>
            <a:t>  Finalizar</a:t>
          </a:r>
        </a:p>
      </xdr:txBody>
    </xdr:sp>
    <xdr:clientData/>
  </xdr:twoCellAnchor>
  <xdr:twoCellAnchor>
    <xdr:from>
      <xdr:col>8</xdr:col>
      <xdr:colOff>0</xdr:colOff>
      <xdr:row>22</xdr:row>
      <xdr:rowOff>0</xdr:rowOff>
    </xdr:from>
    <xdr:to>
      <xdr:col>9</xdr:col>
      <xdr:colOff>971550</xdr:colOff>
      <xdr:row>23</xdr:row>
      <xdr:rowOff>95250</xdr:rowOff>
    </xdr:to>
    <xdr:sp macro="BuscarPaciente" textlink="">
      <xdr:nvSpPr>
        <xdr:cNvPr id="6" name="btn_BuscarPaciente_Calend">
          <a:extLst>
            <a:ext uri="{FF2B5EF4-FFF2-40B4-BE49-F238E27FC236}">
              <a16:creationId xmlns:a16="http://schemas.microsoft.com/office/drawing/2014/main" id="{2C2F06DA-68A1-4D28-8F4F-9ECCA5F65647}"/>
            </a:ext>
          </a:extLst>
        </xdr:cNvPr>
        <xdr:cNvSpPr/>
      </xdr:nvSpPr>
      <xdr:spPr>
        <a:xfrm>
          <a:off x="8801100" y="7667625"/>
          <a:ext cx="12382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Segoe MDL2 Assets" panose="050A0102010101010101" pitchFamily="18" charset="0"/>
            </a:rPr>
            <a:t></a:t>
          </a:r>
          <a:r>
            <a:rPr lang="pt-BR" sz="1100">
              <a:solidFill>
                <a:srgbClr val="FFFFFF"/>
              </a:solidFill>
              <a:latin typeface="Poppins Light" panose="00000400000000000000" pitchFamily="2" charset="0"/>
            </a:rPr>
            <a:t>  Buscar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7</xdr:row>
      <xdr:rowOff>0</xdr:rowOff>
    </xdr:from>
    <xdr:ext cx="324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>
    <xdr:from>
      <xdr:col>1</xdr:col>
      <xdr:colOff>0</xdr:colOff>
      <xdr:row>0</xdr:row>
      <xdr:rowOff>0</xdr:rowOff>
    </xdr:from>
    <xdr:to>
      <xdr:col>1</xdr:col>
      <xdr:colOff>1047750</xdr:colOff>
      <xdr:row>1</xdr:row>
      <xdr:rowOff>0</xdr:rowOff>
    </xdr:to>
    <xdr:sp macro="IrMenu" textlink="">
      <xdr:nvSpPr>
        <xdr:cNvPr id="3" name="btn_IrMenu_Aniver">
          <a:extLst>
            <a:ext uri="{FF2B5EF4-FFF2-40B4-BE49-F238E27FC236}">
              <a16:creationId xmlns:a16="http://schemas.microsoft.com/office/drawing/2014/main" id="{4CC5C433-3D4B-4321-9E56-379F279CB820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F4F4F4"/>
        </a:solidFill>
        <a:ln w="9525">
          <a:solidFill>
            <a:srgbClr val="A6A6A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>
              <a:solidFill>
                <a:srgbClr val="5A1E2A"/>
              </a:solidFill>
              <a:latin typeface="Segoe MDL2 Assets" panose="050A0102010101010101" pitchFamily="18" charset="0"/>
            </a:rPr>
            <a:t></a:t>
          </a:r>
          <a:r>
            <a:rPr lang="pt-BR" sz="1000">
              <a:solidFill>
                <a:srgbClr val="000000"/>
              </a:solidFill>
              <a:latin typeface="Poppins Light" panose="00000400000000000000" pitchFamily="2" charset="0"/>
            </a:rPr>
            <a:t>  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15</xdr:row>
      <xdr:rowOff>0</xdr:rowOff>
    </xdr:from>
    <xdr:ext cx="324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4</xdr:col>
      <xdr:colOff>0</xdr:colOff>
      <xdr:row>15</xdr:row>
      <xdr:rowOff>0</xdr:rowOff>
    </xdr:from>
    <xdr:ext cx="3240000" cy="216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7</xdr:col>
      <xdr:colOff>0</xdr:colOff>
      <xdr:row>15</xdr:row>
      <xdr:rowOff>0</xdr:rowOff>
    </xdr:from>
    <xdr:ext cx="3240000" cy="216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twoCellAnchor>
    <xdr:from>
      <xdr:col>1</xdr:col>
      <xdr:colOff>0</xdr:colOff>
      <xdr:row>0</xdr:row>
      <xdr:rowOff>0</xdr:rowOff>
    </xdr:from>
    <xdr:to>
      <xdr:col>1</xdr:col>
      <xdr:colOff>1047750</xdr:colOff>
      <xdr:row>1</xdr:row>
      <xdr:rowOff>0</xdr:rowOff>
    </xdr:to>
    <xdr:sp macro="IrMenu" textlink="">
      <xdr:nvSpPr>
        <xdr:cNvPr id="5" name="btn_IrMenu_Relató">
          <a:extLst>
            <a:ext uri="{FF2B5EF4-FFF2-40B4-BE49-F238E27FC236}">
              <a16:creationId xmlns:a16="http://schemas.microsoft.com/office/drawing/2014/main" id="{7D4B1AD9-9864-4365-9C9D-777253F87B6C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F4F4F4"/>
        </a:solidFill>
        <a:ln w="9525">
          <a:solidFill>
            <a:srgbClr val="A6A6A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>
              <a:solidFill>
                <a:srgbClr val="5A1E2A"/>
              </a:solidFill>
              <a:latin typeface="Segoe MDL2 Assets" panose="050A0102010101010101" pitchFamily="18" charset="0"/>
            </a:rPr>
            <a:t></a:t>
          </a:r>
          <a:r>
            <a:rPr lang="pt-BR" sz="1000">
              <a:solidFill>
                <a:srgbClr val="000000"/>
              </a:solidFill>
              <a:latin typeface="Poppins Light" panose="00000400000000000000" pitchFamily="2" charset="0"/>
            </a:rPr>
            <a:t>  Menu</a:t>
          </a:r>
        </a:p>
      </xdr:txBody>
    </xdr:sp>
    <xdr:clientData/>
  </xdr:twoCellAnchor>
  <xdr:twoCellAnchor>
    <xdr:from>
      <xdr:col>7</xdr:col>
      <xdr:colOff>0</xdr:colOff>
      <xdr:row>3</xdr:row>
      <xdr:rowOff>0</xdr:rowOff>
    </xdr:from>
    <xdr:to>
      <xdr:col>7</xdr:col>
      <xdr:colOff>1428750</xdr:colOff>
      <xdr:row>4</xdr:row>
      <xdr:rowOff>114300</xdr:rowOff>
    </xdr:to>
    <xdr:sp macro="ExportarRelatorioPDF" textlink="">
      <xdr:nvSpPr>
        <xdr:cNvPr id="6" name="btn_ExportarRelatorioPDF_Relató">
          <a:extLst>
            <a:ext uri="{FF2B5EF4-FFF2-40B4-BE49-F238E27FC236}">
              <a16:creationId xmlns:a16="http://schemas.microsoft.com/office/drawing/2014/main" id="{A1C76F6E-E8B4-4D2E-B5BF-E35240F4CA6F}"/>
            </a:ext>
          </a:extLst>
        </xdr:cNvPr>
        <xdr:cNvSpPr/>
      </xdr:nvSpPr>
      <xdr:spPr>
        <a:xfrm>
          <a:off x="6600825" y="904875"/>
          <a:ext cx="1428750" cy="285750"/>
        </a:xfrm>
        <a:prstGeom prst="roundRect">
          <a:avLst/>
        </a:prstGeom>
        <a:solidFill>
          <a:srgbClr val="3A10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400">
              <a:solidFill>
                <a:srgbClr val="FFFFFF"/>
              </a:solidFill>
              <a:latin typeface="Segoe MDL2 Assets" panose="050A0102010101010101" pitchFamily="18" charset="0"/>
            </a:rPr>
            <a:t></a:t>
          </a:r>
          <a:r>
            <a:rPr lang="pt-BR" sz="1100">
              <a:solidFill>
                <a:srgbClr val="FFFFFF"/>
              </a:solidFill>
              <a:latin typeface="Poppins Light" panose="00000400000000000000" pitchFamily="2" charset="0"/>
            </a:rPr>
            <a:t>  Exportar PDF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1047750</xdr:colOff>
      <xdr:row>1</xdr:row>
      <xdr:rowOff>0</xdr:rowOff>
    </xdr:to>
    <xdr:sp macro="IrMenu" textlink="">
      <xdr:nvSpPr>
        <xdr:cNvPr id="2" name="btn_IrMenu_Config">
          <a:extLst>
            <a:ext uri="{FF2B5EF4-FFF2-40B4-BE49-F238E27FC236}">
              <a16:creationId xmlns:a16="http://schemas.microsoft.com/office/drawing/2014/main" id="{199C3FCD-FE78-44BB-AA62-A769D7DB919C}"/>
            </a:ext>
          </a:extLst>
        </xdr:cNvPr>
        <xdr:cNvSpPr/>
      </xdr:nvSpPr>
      <xdr:spPr>
        <a:xfrm>
          <a:off x="200025" y="0"/>
          <a:ext cx="1047750" cy="228600"/>
        </a:xfrm>
        <a:prstGeom prst="roundRect">
          <a:avLst/>
        </a:prstGeom>
        <a:solidFill>
          <a:srgbClr val="F4F4F4"/>
        </a:solidFill>
        <a:ln w="9525">
          <a:solidFill>
            <a:srgbClr val="A6A6A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1300">
              <a:solidFill>
                <a:srgbClr val="5A1E2A"/>
              </a:solidFill>
              <a:latin typeface="Segoe MDL2 Assets" panose="050A0102010101010101" pitchFamily="18" charset="0"/>
            </a:rPr>
            <a:t></a:t>
          </a:r>
          <a:r>
            <a:rPr lang="pt-BR" sz="1000">
              <a:solidFill>
                <a:srgbClr val="000000"/>
              </a:solidFill>
              <a:latin typeface="Poppins Light" panose="00000400000000000000" pitchFamily="2" charset="0"/>
            </a:rPr>
            <a:t> 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5A1E2A"/>
    <pageSetUpPr fitToPage="1"/>
  </sheetPr>
  <dimension ref="B1:L20"/>
  <sheetViews>
    <sheetView showGridLines="0" showRowColHeaders="0" tabSelected="1" workbookViewId="0"/>
  </sheetViews>
  <sheetFormatPr defaultRowHeight="15" x14ac:dyDescent="0.25"/>
  <cols>
    <col min="1" max="1" width="3" customWidth="1"/>
    <col min="2" max="4" width="22" customWidth="1"/>
    <col min="5" max="5" width="4" customWidth="1"/>
    <col min="6" max="8" width="22" customWidth="1"/>
    <col min="9" max="9" width="4" customWidth="1"/>
    <col min="10" max="11" width="26" customWidth="1"/>
    <col min="12" max="12" width="3" customWidth="1"/>
  </cols>
  <sheetData>
    <row r="1" spans="2:12" ht="15.95" customHeight="1" x14ac:dyDescent="0.55000000000000004">
      <c r="B1" s="1" t="s">
        <v>0</v>
      </c>
    </row>
    <row r="2" spans="2:12" ht="39.950000000000003" customHeight="1" x14ac:dyDescent="0.25">
      <c r="B2" s="50" t="s">
        <v>1</v>
      </c>
      <c r="C2" s="46"/>
      <c r="D2" s="46"/>
      <c r="E2" s="46"/>
      <c r="J2" s="53">
        <f ca="1">TODAY()</f>
        <v>46170</v>
      </c>
      <c r="K2" s="46"/>
    </row>
    <row r="3" spans="2:12" ht="21.95" customHeight="1" x14ac:dyDescent="0.25">
      <c r="B3" s="48" t="s">
        <v>2</v>
      </c>
      <c r="C3" s="46"/>
      <c r="D3" s="46"/>
      <c r="E3" s="46"/>
    </row>
    <row r="4" spans="2:12" ht="14.1" customHeight="1" x14ac:dyDescent="0.25">
      <c r="B4" s="2"/>
      <c r="C4" s="2"/>
      <c r="D4" s="2"/>
      <c r="E4" s="2"/>
      <c r="F4" s="2"/>
      <c r="G4" s="2"/>
      <c r="H4" s="2"/>
    </row>
    <row r="5" spans="2:12" ht="21.95" customHeight="1" x14ac:dyDescent="0.25">
      <c r="J5" s="45" t="s">
        <v>3</v>
      </c>
      <c r="K5" s="46"/>
    </row>
    <row r="6" spans="2:12" ht="24" customHeight="1" x14ac:dyDescent="0.25">
      <c r="B6" s="47" t="s">
        <v>4</v>
      </c>
      <c r="C6" s="47" t="s">
        <v>5</v>
      </c>
      <c r="D6" s="47" t="s">
        <v>6</v>
      </c>
      <c r="F6" s="47" t="s">
        <v>7</v>
      </c>
      <c r="G6" s="47" t="s">
        <v>8</v>
      </c>
      <c r="H6" s="47" t="s">
        <v>9</v>
      </c>
      <c r="I6" s="49" t="s">
        <v>10</v>
      </c>
      <c r="J6" s="51" t="str">
        <f ca="1">TEXT(SUMPRODUCT((PAC_UltimaSessao&lt;&gt;"")*(PAC_UltimaSessao&lt;(TODAY()-30))),"0")&amp;" paciente(s) sem sessão há 30+ dias"</f>
        <v>1 paciente(s) sem sessão há 30+ dias</v>
      </c>
      <c r="K6" s="46"/>
    </row>
    <row r="7" spans="2:12" ht="45.95" customHeight="1" x14ac:dyDescent="0.25">
      <c r="B7" s="3">
        <f>COUNTIF(PAC_Status,"Ativo")</f>
        <v>7</v>
      </c>
      <c r="C7" s="4">
        <f ca="1">SUMIFS(FIN_Valor,FIN_Status,"Pago",FIN_Data,"&gt;="&amp;DATE(YEAR(TODAY()),MONTH(TODAY()),1),FIN_Data,"&lt;="&amp;EOMONTH(TODAY(),0))</f>
        <v>870</v>
      </c>
      <c r="D7" s="5">
        <f>SUMIF(FIN_Status,"Pendente",FIN_Valor)</f>
        <v>350</v>
      </c>
      <c r="F7" s="6" t="str">
        <f ca="1">IF(SUMPRODUCT((CAL_LogData&lt;&gt;"")*(CAL_LogData&gt;=TODAY()))=0,"—",TEXT(MIN(Calendário!$AB$100:$AB$160),"dd/mm"))</f>
        <v>28/05</v>
      </c>
      <c r="G7" s="3">
        <f>COUNTIF(CAL_LogStatus,"Faltou")</f>
        <v>1</v>
      </c>
      <c r="H7" s="3">
        <f ca="1">SUMPRODUCT((ANIV_Nasc&lt;&gt;"")*(MONTH(ANIV_Nasc)=MONTH(TODAY())))</f>
        <v>3</v>
      </c>
      <c r="I7" s="46"/>
      <c r="J7" s="52"/>
      <c r="K7" s="52"/>
    </row>
    <row r="8" spans="2:12" ht="9.9499999999999993" customHeight="1" x14ac:dyDescent="0.25"/>
    <row r="9" spans="2:12" ht="21.95" customHeight="1" x14ac:dyDescent="0.25">
      <c r="I9" s="49" t="s">
        <v>10</v>
      </c>
      <c r="J9" s="51" t="str">
        <f ca="1">IF(MEI_Faturamento&gt;=72900,"Crítico: ",IF(MEI_Faturamento&gt;=56700,"Atenção: ",""))&amp;"Faturamento anual R$ "&amp;FIXED(MEI_Faturamento,0)&amp;" / teto MEI R$ 81.000"</f>
        <v>Faturamento anual R$ 3.660 / teto MEI R$ 81.000</v>
      </c>
      <c r="K9" s="46"/>
    </row>
    <row r="10" spans="2:12" ht="24" customHeight="1" x14ac:dyDescent="0.25">
      <c r="B10" s="7" t="s">
        <v>11</v>
      </c>
      <c r="I10" s="46"/>
      <c r="J10" s="52"/>
      <c r="K10" s="52"/>
    </row>
    <row r="11" spans="2:12" ht="54" customHeight="1" x14ac:dyDescent="0.25">
      <c r="I11" s="49" t="s">
        <v>10</v>
      </c>
      <c r="J11" s="51" t="str">
        <f>TEXT(COUNTIF(FIN_Status,"Pendente"),"0")&amp;" pagamento(s) pendente(s) — R$ "&amp;FIXED(SUMIF(FIN_Status,"Pendente",FIN_Valor),2)</f>
        <v>2 pagamento(s) pendente(s) — R$ 350,00</v>
      </c>
      <c r="K11" s="46"/>
    </row>
    <row r="12" spans="2:12" ht="14.1" customHeight="1" x14ac:dyDescent="0.25">
      <c r="I12" s="46"/>
      <c r="J12" s="52"/>
      <c r="K12" s="52"/>
    </row>
    <row r="13" spans="2:12" ht="54" customHeight="1" x14ac:dyDescent="0.25">
      <c r="I13" s="49" t="s">
        <v>10</v>
      </c>
      <c r="J13" s="51" t="str">
        <f ca="1">TEXT(SUMPRODUCT((ANIV_Nasc&lt;&gt;"")*(TEXT(ANIV_Nasc,"MM-DD")&gt;=TEXT(TODAY(),"MM-DD"))*(TEXT(ANIV_Nasc,"MM-DD")&lt;=TEXT(TODAY()+7,"MM-DD"))),"0")&amp;" aniversariante(s) nos próximos 7 dias"</f>
        <v>3 aniversariante(s) nos próximos 7 dias</v>
      </c>
      <c r="K13" s="46"/>
    </row>
    <row r="14" spans="2:12" ht="12" customHeight="1" x14ac:dyDescent="0.25">
      <c r="I14" s="46"/>
      <c r="J14" s="52"/>
      <c r="K14" s="52"/>
    </row>
    <row r="15" spans="2:12" ht="8.1" customHeight="1" x14ac:dyDescent="0.25">
      <c r="I15" s="8"/>
      <c r="J15" s="9"/>
      <c r="K15" s="8"/>
      <c r="L15" s="8"/>
    </row>
    <row r="16" spans="2:12" ht="8.1" customHeight="1" x14ac:dyDescent="0.25">
      <c r="I16" s="8"/>
      <c r="J16" s="8"/>
      <c r="K16" s="8"/>
      <c r="L16" s="8"/>
    </row>
    <row r="17" spans="9:12" ht="8.1" customHeight="1" x14ac:dyDescent="0.25">
      <c r="I17" s="8"/>
      <c r="J17" s="8"/>
      <c r="K17" s="8"/>
      <c r="L17" s="8"/>
    </row>
    <row r="18" spans="9:12" ht="8.1" customHeight="1" x14ac:dyDescent="0.25">
      <c r="I18" s="8"/>
      <c r="J18" s="8"/>
      <c r="K18" s="8"/>
      <c r="L18" s="8"/>
    </row>
    <row r="19" spans="9:12" ht="8.1" customHeight="1" x14ac:dyDescent="0.25">
      <c r="I19" s="8"/>
      <c r="J19" s="8"/>
      <c r="K19" s="8"/>
      <c r="L19" s="8"/>
    </row>
    <row r="20" spans="9:12" ht="8.1" customHeight="1" x14ac:dyDescent="0.25">
      <c r="I20" s="8"/>
      <c r="J20" s="8"/>
      <c r="K20" s="8"/>
      <c r="L20" s="8"/>
    </row>
  </sheetData>
  <mergeCells count="18">
    <mergeCell ref="I13:I14"/>
    <mergeCell ref="D6"/>
    <mergeCell ref="B2:E2"/>
    <mergeCell ref="J13:K14"/>
    <mergeCell ref="G6"/>
    <mergeCell ref="J9:K10"/>
    <mergeCell ref="I9:I10"/>
    <mergeCell ref="J2:K2"/>
    <mergeCell ref="J6:K7"/>
    <mergeCell ref="I6:I7"/>
    <mergeCell ref="J11:K12"/>
    <mergeCell ref="I11:I12"/>
    <mergeCell ref="J5:K5"/>
    <mergeCell ref="B6"/>
    <mergeCell ref="C6"/>
    <mergeCell ref="B3:E3"/>
    <mergeCell ref="F6"/>
    <mergeCell ref="H6"/>
  </mergeCells>
  <pageMargins left="0.4" right="0.4" top="0.5" bottom="0.5" header="0.2" footer="0.2"/>
  <pageSetup fitToHeight="0" orientation="landscape"/>
  <headerFooter>
    <oddFooter>&amp;L&amp;8 &amp;K3B3B3BPsi Planner 2&amp;C&amp;8 &amp;K3B3B3BClínica Vita&amp;R&amp;8 &amp;K3B3B3B&amp;P / &amp;N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3B3B3B"/>
    <pageSetUpPr fitToPage="1"/>
  </sheetPr>
  <dimension ref="B1:AP78"/>
  <sheetViews>
    <sheetView showGridLines="0" showRowColHeader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3" customWidth="1"/>
    <col min="2" max="2" width="13" customWidth="1"/>
    <col min="3" max="3" width="26" customWidth="1"/>
    <col min="4" max="5" width="16" customWidth="1"/>
    <col min="6" max="7" width="14" customWidth="1"/>
    <col min="8" max="8" width="13" customWidth="1"/>
    <col min="9" max="9" width="14" customWidth="1"/>
    <col min="10" max="10" width="27" customWidth="1"/>
    <col min="11" max="11" width="3" customWidth="1"/>
    <col min="12" max="12" width="24" customWidth="1"/>
    <col min="13" max="13" width="22" customWidth="1"/>
    <col min="28" max="42" width="13" hidden="1" customWidth="1"/>
  </cols>
  <sheetData>
    <row r="1" spans="2:41" ht="18" customHeight="1" x14ac:dyDescent="0.25">
      <c r="AB1" t="s">
        <v>12</v>
      </c>
      <c r="AC1" t="s">
        <v>13</v>
      </c>
      <c r="AE1" t="s">
        <v>14</v>
      </c>
      <c r="AF1" t="s">
        <v>15</v>
      </c>
      <c r="AH1" t="s">
        <v>16</v>
      </c>
      <c r="AI1" t="s">
        <v>15</v>
      </c>
      <c r="AK1" t="s">
        <v>12</v>
      </c>
      <c r="AL1" t="s">
        <v>17</v>
      </c>
      <c r="AN1" t="s">
        <v>18</v>
      </c>
      <c r="AO1" t="s">
        <v>15</v>
      </c>
    </row>
    <row r="2" spans="2:41" ht="39.950000000000003" customHeight="1" x14ac:dyDescent="0.25">
      <c r="B2" s="54" t="s">
        <v>19</v>
      </c>
      <c r="C2" s="46"/>
      <c r="D2" s="46"/>
      <c r="E2" s="46"/>
      <c r="F2" s="46"/>
      <c r="AB2" t="s">
        <v>20</v>
      </c>
      <c r="AC2">
        <f ca="1">SUMIFS(FIN_Valor,FIN_Status,"Pago",FIN_Data,"&gt;="&amp;DATE(YEAR(TODAY()),1,1),FIN_Data,"&lt;="&amp;EOMONTH(DATE(YEAR(TODAY()),1,1),0))</f>
        <v>720</v>
      </c>
      <c r="AE2" t="s">
        <v>13</v>
      </c>
      <c r="AF2">
        <f>M6</f>
        <v>3660</v>
      </c>
      <c r="AH2" t="s">
        <v>21</v>
      </c>
      <c r="AI2">
        <f>M6</f>
        <v>3660</v>
      </c>
      <c r="AK2" t="s">
        <v>20</v>
      </c>
      <c r="AL2">
        <f ca="1">AC2</f>
        <v>720</v>
      </c>
      <c r="AN2" t="s">
        <v>22</v>
      </c>
      <c r="AO2">
        <f>SUMIF(FIN_Forma,"Pix",FIN_Valor)</f>
        <v>2360</v>
      </c>
    </row>
    <row r="3" spans="2:41" ht="14.1" customHeight="1" x14ac:dyDescent="0.25">
      <c r="B3" s="48" t="s">
        <v>23</v>
      </c>
      <c r="C3" s="46"/>
      <c r="D3" s="46"/>
      <c r="E3" s="46"/>
      <c r="F3" s="46"/>
      <c r="AB3" t="s">
        <v>24</v>
      </c>
      <c r="AC3">
        <f ca="1">SUMIFS(FIN_Valor,FIN_Status,"Pago",FIN_Data,"&gt;="&amp;DATE(YEAR(TODAY()),2,1),FIN_Data,"&lt;="&amp;EOMONTH(DATE(YEAR(TODAY()),2,1),0))</f>
        <v>690</v>
      </c>
      <c r="AE3" t="s">
        <v>25</v>
      </c>
      <c r="AF3">
        <f>SUM(DESP_Valor)</f>
        <v>1459</v>
      </c>
      <c r="AH3" t="s">
        <v>26</v>
      </c>
      <c r="AI3">
        <f>M7</f>
        <v>350</v>
      </c>
      <c r="AK3" t="s">
        <v>24</v>
      </c>
      <c r="AL3">
        <f t="shared" ref="AL3:AL13" ca="1" si="0">AL2+AC3</f>
        <v>1410</v>
      </c>
      <c r="AN3" t="s">
        <v>27</v>
      </c>
      <c r="AO3">
        <f>SUMIF(FIN_Forma,"Dinheiro",FIN_Valor)</f>
        <v>600</v>
      </c>
    </row>
    <row r="4" spans="2:41" ht="21.95" customHeight="1" x14ac:dyDescent="0.25">
      <c r="B4" s="7" t="s">
        <v>28</v>
      </c>
      <c r="L4" s="55" t="s">
        <v>29</v>
      </c>
      <c r="M4" s="46"/>
      <c r="AB4" t="s">
        <v>30</v>
      </c>
      <c r="AC4">
        <f ca="1">SUMIFS(FIN_Valor,FIN_Status,"Pago",FIN_Data,"&gt;="&amp;DATE(YEAR(TODAY()),3,1),FIN_Data,"&lt;="&amp;EOMONTH(DATE(YEAR(TODAY()),3,1),0))</f>
        <v>690</v>
      </c>
      <c r="AK4" t="s">
        <v>30</v>
      </c>
      <c r="AL4">
        <f t="shared" ca="1" si="0"/>
        <v>2100</v>
      </c>
      <c r="AN4" t="s">
        <v>31</v>
      </c>
      <c r="AO4">
        <f>SUMIF(FIN_Forma,"Cartão",FIN_Valor)</f>
        <v>1260</v>
      </c>
    </row>
    <row r="5" spans="2:41" ht="14.1" customHeight="1" x14ac:dyDescent="0.25">
      <c r="AB5" t="s">
        <v>32</v>
      </c>
      <c r="AC5">
        <f ca="1">SUMIFS(FIN_Valor,FIN_Status,"Pago",FIN_Data,"&gt;="&amp;DATE(YEAR(TODAY()),4,1),FIN_Data,"&lt;="&amp;EOMONTH(DATE(YEAR(TODAY()),4,1),0))</f>
        <v>690</v>
      </c>
      <c r="AK5" t="s">
        <v>32</v>
      </c>
      <c r="AL5">
        <f t="shared" ca="1" si="0"/>
        <v>2790</v>
      </c>
      <c r="AN5" t="s">
        <v>33</v>
      </c>
      <c r="AO5">
        <f>SUMIF(FIN_Forma,"Convênio",FIN_Valor)</f>
        <v>150</v>
      </c>
    </row>
    <row r="6" spans="2:41" ht="27.95" customHeight="1" x14ac:dyDescent="0.25">
      <c r="B6" s="10" t="s">
        <v>34</v>
      </c>
      <c r="C6" s="11" t="s">
        <v>35</v>
      </c>
      <c r="D6" s="10" t="s">
        <v>14</v>
      </c>
      <c r="E6" s="10" t="s">
        <v>36</v>
      </c>
      <c r="F6" s="12" t="s">
        <v>15</v>
      </c>
      <c r="G6" s="10" t="s">
        <v>37</v>
      </c>
      <c r="H6" s="10" t="s">
        <v>38</v>
      </c>
      <c r="I6" s="10" t="s">
        <v>39</v>
      </c>
      <c r="J6" s="11" t="s">
        <v>40</v>
      </c>
      <c r="L6" s="13" t="s">
        <v>41</v>
      </c>
      <c r="M6" s="14">
        <f>SUMIF(FIN_Status,"Pago",FIN_Valor)</f>
        <v>3660</v>
      </c>
      <c r="AB6" t="s">
        <v>42</v>
      </c>
      <c r="AC6">
        <f ca="1">SUMIFS(FIN_Valor,FIN_Status,"Pago",FIN_Data,"&gt;="&amp;DATE(YEAR(TODAY()),5,1),FIN_Data,"&lt;="&amp;EOMONTH(DATE(YEAR(TODAY()),5,1),0))</f>
        <v>870</v>
      </c>
      <c r="AK6" t="s">
        <v>42</v>
      </c>
      <c r="AL6">
        <f t="shared" ca="1" si="0"/>
        <v>3660</v>
      </c>
      <c r="AN6" t="s">
        <v>43</v>
      </c>
      <c r="AO6">
        <f>SUMIF(FIN_Forma,"Boleto",FIN_Valor)</f>
        <v>0</v>
      </c>
    </row>
    <row r="7" spans="2:41" ht="20.100000000000001" customHeight="1" x14ac:dyDescent="0.25">
      <c r="B7" s="15">
        <v>46030</v>
      </c>
      <c r="C7" s="16" t="s">
        <v>44</v>
      </c>
      <c r="D7" s="17" t="s">
        <v>45</v>
      </c>
      <c r="E7" s="17" t="s">
        <v>22</v>
      </c>
      <c r="F7" s="18">
        <v>180</v>
      </c>
      <c r="G7" s="17" t="s">
        <v>21</v>
      </c>
      <c r="H7" s="17" t="s">
        <v>46</v>
      </c>
      <c r="I7" s="17" t="s">
        <v>47</v>
      </c>
      <c r="J7" s="16"/>
      <c r="L7" s="13" t="s">
        <v>48</v>
      </c>
      <c r="M7" s="19">
        <f>SUMIF(FIN_Status,"Pendente",FIN_Valor)</f>
        <v>350</v>
      </c>
      <c r="AB7" t="s">
        <v>49</v>
      </c>
      <c r="AC7">
        <f ca="1">SUMIFS(FIN_Valor,FIN_Status,"Pago",FIN_Data,"&gt;="&amp;DATE(YEAR(TODAY()),6,1),FIN_Data,"&lt;="&amp;EOMONTH(DATE(YEAR(TODAY()),6,1),0))</f>
        <v>0</v>
      </c>
      <c r="AK7" t="s">
        <v>49</v>
      </c>
      <c r="AL7">
        <f t="shared" ca="1" si="0"/>
        <v>3660</v>
      </c>
    </row>
    <row r="8" spans="2:41" ht="20.100000000000001" customHeight="1" x14ac:dyDescent="0.25">
      <c r="B8" s="15">
        <v>46037</v>
      </c>
      <c r="C8" s="16" t="s">
        <v>50</v>
      </c>
      <c r="D8" s="17" t="s">
        <v>45</v>
      </c>
      <c r="E8" s="17" t="s">
        <v>31</v>
      </c>
      <c r="F8" s="18">
        <v>180</v>
      </c>
      <c r="G8" s="17" t="s">
        <v>21</v>
      </c>
      <c r="H8" s="17" t="s">
        <v>46</v>
      </c>
      <c r="I8" s="17" t="s">
        <v>51</v>
      </c>
      <c r="J8" s="16"/>
      <c r="L8" s="13" t="s">
        <v>52</v>
      </c>
      <c r="M8" s="14">
        <f>M6-SUM(DESP_Valor)</f>
        <v>2201</v>
      </c>
      <c r="AB8" t="s">
        <v>53</v>
      </c>
      <c r="AC8">
        <f ca="1">SUMIFS(FIN_Valor,FIN_Status,"Pago",FIN_Data,"&gt;="&amp;DATE(YEAR(TODAY()),7,1),FIN_Data,"&lt;="&amp;EOMONTH(DATE(YEAR(TODAY()),7,1),0))</f>
        <v>0</v>
      </c>
      <c r="AK8" t="s">
        <v>53</v>
      </c>
      <c r="AL8">
        <f t="shared" ca="1" si="0"/>
        <v>3660</v>
      </c>
    </row>
    <row r="9" spans="2:41" ht="20.100000000000001" customHeight="1" x14ac:dyDescent="0.25">
      <c r="B9" s="15">
        <v>46042</v>
      </c>
      <c r="C9" s="16" t="s">
        <v>54</v>
      </c>
      <c r="D9" s="17" t="s">
        <v>55</v>
      </c>
      <c r="E9" s="17" t="s">
        <v>22</v>
      </c>
      <c r="F9" s="18">
        <v>180</v>
      </c>
      <c r="G9" s="17" t="s">
        <v>21</v>
      </c>
      <c r="H9" s="17" t="s">
        <v>46</v>
      </c>
      <c r="I9" s="17" t="s">
        <v>56</v>
      </c>
      <c r="J9" s="16" t="s">
        <v>57</v>
      </c>
      <c r="L9" s="13" t="s">
        <v>58</v>
      </c>
      <c r="M9" s="20">
        <f>IFERROR(M7/(M6+M7),0)</f>
        <v>8.7281795511221949E-2</v>
      </c>
      <c r="AB9" t="s">
        <v>59</v>
      </c>
      <c r="AC9">
        <f ca="1">SUMIFS(FIN_Valor,FIN_Status,"Pago",FIN_Data,"&gt;="&amp;DATE(YEAR(TODAY()),8,1),FIN_Data,"&lt;="&amp;EOMONTH(DATE(YEAR(TODAY()),8,1),0))</f>
        <v>0</v>
      </c>
      <c r="AK9" t="s">
        <v>59</v>
      </c>
      <c r="AL9">
        <f t="shared" ca="1" si="0"/>
        <v>3660</v>
      </c>
    </row>
    <row r="10" spans="2:41" ht="20.100000000000001" customHeight="1" x14ac:dyDescent="0.25">
      <c r="B10" s="15">
        <v>46049</v>
      </c>
      <c r="C10" s="16" t="s">
        <v>60</v>
      </c>
      <c r="D10" s="17" t="s">
        <v>55</v>
      </c>
      <c r="E10" s="17" t="s">
        <v>31</v>
      </c>
      <c r="F10" s="18">
        <v>180</v>
      </c>
      <c r="G10" s="17" t="s">
        <v>21</v>
      </c>
      <c r="H10" s="17" t="s">
        <v>46</v>
      </c>
      <c r="I10" s="17" t="s">
        <v>61</v>
      </c>
      <c r="J10" s="16"/>
      <c r="L10" s="13" t="s">
        <v>62</v>
      </c>
      <c r="M10" s="21" t="str">
        <f ca="1">IF(MEI_Faturamento&gt;=72900,"Crítico (90%)",IF(MEI_Faturamento&gt;=56700,"Atenção (70%)","Dentro do limite"))</f>
        <v>Dentro do limite</v>
      </c>
      <c r="AB10" t="s">
        <v>63</v>
      </c>
      <c r="AC10">
        <f ca="1">SUMIFS(FIN_Valor,FIN_Status,"Pago",FIN_Data,"&gt;="&amp;DATE(YEAR(TODAY()),9,1),FIN_Data,"&lt;="&amp;EOMONTH(DATE(YEAR(TODAY()),9,1),0))</f>
        <v>0</v>
      </c>
      <c r="AK10" t="s">
        <v>63</v>
      </c>
      <c r="AL10">
        <f t="shared" ca="1" si="0"/>
        <v>3660</v>
      </c>
    </row>
    <row r="11" spans="2:41" ht="20.100000000000001" customHeight="1" x14ac:dyDescent="0.25">
      <c r="B11" s="15">
        <v>46058</v>
      </c>
      <c r="C11" s="16" t="s">
        <v>54</v>
      </c>
      <c r="D11" s="17" t="s">
        <v>55</v>
      </c>
      <c r="E11" s="17" t="s">
        <v>22</v>
      </c>
      <c r="F11" s="18">
        <v>180</v>
      </c>
      <c r="G11" s="17" t="s">
        <v>21</v>
      </c>
      <c r="H11" s="17" t="s">
        <v>46</v>
      </c>
      <c r="I11" s="17" t="s">
        <v>64</v>
      </c>
      <c r="J11" s="16" t="s">
        <v>57</v>
      </c>
      <c r="L11" s="22" t="s">
        <v>65</v>
      </c>
      <c r="M11" s="23">
        <f ca="1">SUMIFS(FIN_Valor,FIN_Status,"Pago",FIN_Data,"&gt;="&amp;DATE(YEAR(TODAY()),1,1),FIN_Data,"&lt;="&amp;DATE(YEAR(TODAY()),12,31))</f>
        <v>3660</v>
      </c>
      <c r="AB11" t="s">
        <v>66</v>
      </c>
      <c r="AC11">
        <f ca="1">SUMIFS(FIN_Valor,FIN_Status,"Pago",FIN_Data,"&gt;="&amp;DATE(YEAR(TODAY()),10,1),FIN_Data,"&lt;="&amp;EOMONTH(DATE(YEAR(TODAY()),10,1),0))</f>
        <v>0</v>
      </c>
      <c r="AK11" t="s">
        <v>66</v>
      </c>
      <c r="AL11">
        <f t="shared" ca="1" si="0"/>
        <v>3660</v>
      </c>
    </row>
    <row r="12" spans="2:41" ht="20.100000000000001" customHeight="1" x14ac:dyDescent="0.25">
      <c r="B12" s="15">
        <v>46065</v>
      </c>
      <c r="C12" s="16" t="s">
        <v>44</v>
      </c>
      <c r="D12" s="17" t="s">
        <v>45</v>
      </c>
      <c r="E12" s="17" t="s">
        <v>22</v>
      </c>
      <c r="F12" s="18">
        <v>180</v>
      </c>
      <c r="G12" s="17" t="s">
        <v>21</v>
      </c>
      <c r="H12" s="17" t="s">
        <v>46</v>
      </c>
      <c r="I12" s="17" t="s">
        <v>67</v>
      </c>
      <c r="J12" s="16"/>
      <c r="L12" s="22" t="s">
        <v>68</v>
      </c>
      <c r="M12" s="24">
        <f>SUM(DESP_Valor)</f>
        <v>1459</v>
      </c>
      <c r="AB12" t="s">
        <v>69</v>
      </c>
      <c r="AC12">
        <f ca="1">SUMIFS(FIN_Valor,FIN_Status,"Pago",FIN_Data,"&gt;="&amp;DATE(YEAR(TODAY()),11,1),FIN_Data,"&lt;="&amp;EOMONTH(DATE(YEAR(TODAY()),11,1),0))</f>
        <v>0</v>
      </c>
      <c r="AK12" t="s">
        <v>69</v>
      </c>
      <c r="AL12">
        <f t="shared" ca="1" si="0"/>
        <v>3660</v>
      </c>
    </row>
    <row r="13" spans="2:41" ht="20.100000000000001" customHeight="1" x14ac:dyDescent="0.25">
      <c r="B13" s="15">
        <v>46071</v>
      </c>
      <c r="C13" s="16" t="s">
        <v>50</v>
      </c>
      <c r="D13" s="17" t="s">
        <v>45</v>
      </c>
      <c r="E13" s="17" t="s">
        <v>31</v>
      </c>
      <c r="F13" s="18">
        <v>180</v>
      </c>
      <c r="G13" s="17" t="s">
        <v>21</v>
      </c>
      <c r="H13" s="17" t="s">
        <v>46</v>
      </c>
      <c r="I13" s="17" t="s">
        <v>70</v>
      </c>
      <c r="J13" s="16"/>
      <c r="AB13" t="s">
        <v>71</v>
      </c>
      <c r="AC13">
        <f ca="1">SUMIFS(FIN_Valor,FIN_Status,"Pago",FIN_Data,"&gt;="&amp;DATE(YEAR(TODAY()),12,1),FIN_Data,"&lt;="&amp;EOMONTH(DATE(YEAR(TODAY()),12,1),0))</f>
        <v>0</v>
      </c>
      <c r="AK13" t="s">
        <v>71</v>
      </c>
      <c r="AL13">
        <f t="shared" ca="1" si="0"/>
        <v>3660</v>
      </c>
    </row>
    <row r="14" spans="2:41" ht="20.100000000000001" customHeight="1" x14ac:dyDescent="0.25">
      <c r="B14" s="15">
        <v>46077</v>
      </c>
      <c r="C14" s="16" t="s">
        <v>72</v>
      </c>
      <c r="D14" s="17" t="s">
        <v>55</v>
      </c>
      <c r="E14" s="17" t="s">
        <v>27</v>
      </c>
      <c r="F14" s="18">
        <v>150</v>
      </c>
      <c r="G14" s="17" t="s">
        <v>21</v>
      </c>
      <c r="H14" s="17" t="s">
        <v>73</v>
      </c>
      <c r="I14" s="17"/>
      <c r="J14" s="16" t="s">
        <v>74</v>
      </c>
    </row>
    <row r="15" spans="2:41" ht="20.100000000000001" customHeight="1" x14ac:dyDescent="0.25">
      <c r="B15" s="15">
        <v>46085</v>
      </c>
      <c r="C15" s="16" t="s">
        <v>54</v>
      </c>
      <c r="D15" s="17" t="s">
        <v>55</v>
      </c>
      <c r="E15" s="17" t="s">
        <v>22</v>
      </c>
      <c r="F15" s="18">
        <v>180</v>
      </c>
      <c r="G15" s="17" t="s">
        <v>21</v>
      </c>
      <c r="H15" s="17" t="s">
        <v>46</v>
      </c>
      <c r="I15" s="17" t="s">
        <v>75</v>
      </c>
      <c r="J15" s="16" t="s">
        <v>57</v>
      </c>
    </row>
    <row r="16" spans="2:41" ht="20.100000000000001" customHeight="1" x14ac:dyDescent="0.25">
      <c r="B16" s="15">
        <v>46092</v>
      </c>
      <c r="C16" s="16" t="s">
        <v>50</v>
      </c>
      <c r="D16" s="17" t="s">
        <v>45</v>
      </c>
      <c r="E16" s="17" t="s">
        <v>31</v>
      </c>
      <c r="F16" s="18">
        <v>180</v>
      </c>
      <c r="G16" s="17" t="s">
        <v>21</v>
      </c>
      <c r="H16" s="17" t="s">
        <v>46</v>
      </c>
      <c r="I16" s="17" t="s">
        <v>76</v>
      </c>
      <c r="J16" s="16"/>
    </row>
    <row r="17" spans="2:10" ht="20.100000000000001" customHeight="1" x14ac:dyDescent="0.25">
      <c r="B17" s="15">
        <v>46098</v>
      </c>
      <c r="C17" s="16" t="s">
        <v>72</v>
      </c>
      <c r="D17" s="17" t="s">
        <v>55</v>
      </c>
      <c r="E17" s="17" t="s">
        <v>27</v>
      </c>
      <c r="F17" s="18">
        <v>150</v>
      </c>
      <c r="G17" s="17" t="s">
        <v>21</v>
      </c>
      <c r="H17" s="17" t="s">
        <v>73</v>
      </c>
      <c r="I17" s="17"/>
      <c r="J17" s="16" t="s">
        <v>74</v>
      </c>
    </row>
    <row r="18" spans="2:10" ht="20.100000000000001" customHeight="1" x14ac:dyDescent="0.25">
      <c r="B18" s="15">
        <v>46106</v>
      </c>
      <c r="C18" s="16" t="s">
        <v>44</v>
      </c>
      <c r="D18" s="17" t="s">
        <v>45</v>
      </c>
      <c r="E18" s="17" t="s">
        <v>22</v>
      </c>
      <c r="F18" s="18">
        <v>180</v>
      </c>
      <c r="G18" s="17" t="s">
        <v>21</v>
      </c>
      <c r="H18" s="17" t="s">
        <v>46</v>
      </c>
      <c r="I18" s="17" t="s">
        <v>77</v>
      </c>
      <c r="J18" s="16"/>
    </row>
    <row r="19" spans="2:10" ht="20.100000000000001" customHeight="1" x14ac:dyDescent="0.25">
      <c r="B19" s="15">
        <v>46114</v>
      </c>
      <c r="C19" s="16" t="s">
        <v>54</v>
      </c>
      <c r="D19" s="17" t="s">
        <v>55</v>
      </c>
      <c r="E19" s="17" t="s">
        <v>22</v>
      </c>
      <c r="F19" s="18">
        <v>180</v>
      </c>
      <c r="G19" s="17" t="s">
        <v>21</v>
      </c>
      <c r="H19" s="17" t="s">
        <v>46</v>
      </c>
      <c r="I19" s="17" t="s">
        <v>78</v>
      </c>
      <c r="J19" s="16" t="s">
        <v>57</v>
      </c>
    </row>
    <row r="20" spans="2:10" ht="20.100000000000001" customHeight="1" x14ac:dyDescent="0.25">
      <c r="B20" s="15">
        <v>46121</v>
      </c>
      <c r="C20" s="16" t="s">
        <v>50</v>
      </c>
      <c r="D20" s="17" t="s">
        <v>45</v>
      </c>
      <c r="E20" s="17" t="s">
        <v>31</v>
      </c>
      <c r="F20" s="18">
        <v>180</v>
      </c>
      <c r="G20" s="17" t="s">
        <v>21</v>
      </c>
      <c r="H20" s="17" t="s">
        <v>46</v>
      </c>
      <c r="I20" s="17" t="s">
        <v>79</v>
      </c>
      <c r="J20" s="16"/>
    </row>
    <row r="21" spans="2:10" ht="20.100000000000001" customHeight="1" x14ac:dyDescent="0.25">
      <c r="B21" s="15">
        <v>46126</v>
      </c>
      <c r="C21" s="16" t="s">
        <v>44</v>
      </c>
      <c r="D21" s="17" t="s">
        <v>45</v>
      </c>
      <c r="E21" s="17" t="s">
        <v>22</v>
      </c>
      <c r="F21" s="18">
        <v>180</v>
      </c>
      <c r="G21" s="17" t="s">
        <v>21</v>
      </c>
      <c r="H21" s="17" t="s">
        <v>46</v>
      </c>
      <c r="I21" s="17" t="s">
        <v>80</v>
      </c>
      <c r="J21" s="16"/>
    </row>
    <row r="22" spans="2:10" ht="20.100000000000001" customHeight="1" x14ac:dyDescent="0.25">
      <c r="B22" s="15">
        <v>46127</v>
      </c>
      <c r="C22" s="16" t="s">
        <v>81</v>
      </c>
      <c r="D22" s="17" t="s">
        <v>55</v>
      </c>
      <c r="E22" s="17" t="s">
        <v>22</v>
      </c>
      <c r="F22" s="18">
        <v>180</v>
      </c>
      <c r="G22" s="17" t="s">
        <v>82</v>
      </c>
      <c r="H22" s="17" t="s">
        <v>73</v>
      </c>
      <c r="I22" s="17"/>
      <c r="J22" s="16" t="s">
        <v>83</v>
      </c>
    </row>
    <row r="23" spans="2:10" ht="20.100000000000001" customHeight="1" x14ac:dyDescent="0.25">
      <c r="B23" s="15">
        <v>46135</v>
      </c>
      <c r="C23" s="16" t="s">
        <v>72</v>
      </c>
      <c r="D23" s="17" t="s">
        <v>55</v>
      </c>
      <c r="E23" s="17" t="s">
        <v>27</v>
      </c>
      <c r="F23" s="18">
        <v>150</v>
      </c>
      <c r="G23" s="17" t="s">
        <v>21</v>
      </c>
      <c r="H23" s="17" t="s">
        <v>73</v>
      </c>
      <c r="I23" s="17"/>
      <c r="J23" s="16" t="s">
        <v>74</v>
      </c>
    </row>
    <row r="24" spans="2:10" ht="20.100000000000001" customHeight="1" x14ac:dyDescent="0.25">
      <c r="B24" s="15">
        <v>46146</v>
      </c>
      <c r="C24" s="16" t="s">
        <v>54</v>
      </c>
      <c r="D24" s="17" t="s">
        <v>55</v>
      </c>
      <c r="E24" s="17" t="s">
        <v>22</v>
      </c>
      <c r="F24" s="18">
        <v>180</v>
      </c>
      <c r="G24" s="17" t="s">
        <v>21</v>
      </c>
      <c r="H24" s="17" t="s">
        <v>46</v>
      </c>
      <c r="I24" s="17" t="s">
        <v>84</v>
      </c>
      <c r="J24" s="16" t="s">
        <v>57</v>
      </c>
    </row>
    <row r="25" spans="2:10" ht="20.100000000000001" customHeight="1" x14ac:dyDescent="0.25">
      <c r="B25" s="15">
        <v>46148</v>
      </c>
      <c r="C25" s="16" t="s">
        <v>50</v>
      </c>
      <c r="D25" s="17" t="s">
        <v>45</v>
      </c>
      <c r="E25" s="17" t="s">
        <v>31</v>
      </c>
      <c r="F25" s="18">
        <v>180</v>
      </c>
      <c r="G25" s="17" t="s">
        <v>21</v>
      </c>
      <c r="H25" s="17" t="s">
        <v>46</v>
      </c>
      <c r="I25" s="17" t="s">
        <v>85</v>
      </c>
      <c r="J25" s="16"/>
    </row>
    <row r="26" spans="2:10" ht="20.100000000000001" customHeight="1" x14ac:dyDescent="0.25">
      <c r="B26" s="15">
        <v>46153</v>
      </c>
      <c r="C26" s="16" t="s">
        <v>72</v>
      </c>
      <c r="D26" s="17" t="s">
        <v>55</v>
      </c>
      <c r="E26" s="17" t="s">
        <v>27</v>
      </c>
      <c r="F26" s="18">
        <v>150</v>
      </c>
      <c r="G26" s="17" t="s">
        <v>21</v>
      </c>
      <c r="H26" s="17" t="s">
        <v>73</v>
      </c>
      <c r="I26" s="17"/>
      <c r="J26" s="16" t="s">
        <v>74</v>
      </c>
    </row>
    <row r="27" spans="2:10" ht="20.100000000000001" customHeight="1" x14ac:dyDescent="0.25">
      <c r="B27" s="15">
        <v>46155</v>
      </c>
      <c r="C27" s="16" t="s">
        <v>81</v>
      </c>
      <c r="D27" s="17" t="s">
        <v>55</v>
      </c>
      <c r="E27" s="17" t="s">
        <v>22</v>
      </c>
      <c r="F27" s="18">
        <v>200</v>
      </c>
      <c r="G27" s="17" t="s">
        <v>26</v>
      </c>
      <c r="H27" s="17" t="s">
        <v>73</v>
      </c>
      <c r="I27" s="17"/>
      <c r="J27" s="16" t="s">
        <v>86</v>
      </c>
    </row>
    <row r="28" spans="2:10" ht="20.100000000000001" customHeight="1" x14ac:dyDescent="0.25">
      <c r="B28" s="15">
        <v>46160</v>
      </c>
      <c r="C28" s="16" t="s">
        <v>44</v>
      </c>
      <c r="D28" s="17" t="s">
        <v>45</v>
      </c>
      <c r="E28" s="17" t="s">
        <v>22</v>
      </c>
      <c r="F28" s="18">
        <v>180</v>
      </c>
      <c r="G28" s="17" t="s">
        <v>21</v>
      </c>
      <c r="H28" s="17" t="s">
        <v>46</v>
      </c>
      <c r="I28" s="17" t="s">
        <v>87</v>
      </c>
      <c r="J28" s="16"/>
    </row>
    <row r="29" spans="2:10" ht="20.100000000000001" customHeight="1" x14ac:dyDescent="0.25">
      <c r="B29" s="15">
        <v>46162</v>
      </c>
      <c r="C29" s="16" t="s">
        <v>88</v>
      </c>
      <c r="D29" s="17" t="s">
        <v>55</v>
      </c>
      <c r="E29" s="17" t="s">
        <v>33</v>
      </c>
      <c r="F29" s="18">
        <v>150</v>
      </c>
      <c r="G29" s="17" t="s">
        <v>26</v>
      </c>
      <c r="H29" s="17" t="s">
        <v>73</v>
      </c>
      <c r="I29" s="17"/>
      <c r="J29" s="16" t="s">
        <v>89</v>
      </c>
    </row>
    <row r="30" spans="2:10" ht="20.100000000000001" customHeight="1" x14ac:dyDescent="0.25">
      <c r="B30" s="15">
        <v>46164</v>
      </c>
      <c r="C30" s="16" t="s">
        <v>60</v>
      </c>
      <c r="D30" s="17" t="s">
        <v>55</v>
      </c>
      <c r="E30" s="17" t="s">
        <v>31</v>
      </c>
      <c r="F30" s="18">
        <v>180</v>
      </c>
      <c r="G30" s="17" t="s">
        <v>21</v>
      </c>
      <c r="H30" s="17" t="s">
        <v>46</v>
      </c>
      <c r="I30" s="17" t="s">
        <v>90</v>
      </c>
      <c r="J30" s="16"/>
    </row>
    <row r="31" spans="2:10" ht="20.100000000000001" customHeight="1" x14ac:dyDescent="0.25">
      <c r="B31" s="15">
        <v>46167</v>
      </c>
      <c r="C31" s="16" t="s">
        <v>91</v>
      </c>
      <c r="D31" s="17" t="s">
        <v>45</v>
      </c>
      <c r="E31" s="17" t="s">
        <v>22</v>
      </c>
      <c r="F31" s="18">
        <v>180</v>
      </c>
      <c r="G31" s="17" t="s">
        <v>92</v>
      </c>
      <c r="H31" s="17" t="s">
        <v>73</v>
      </c>
      <c r="I31" s="17"/>
      <c r="J31" s="16" t="s">
        <v>93</v>
      </c>
    </row>
    <row r="32" spans="2:10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spans="2:6" ht="20.100000000000001" customHeight="1" x14ac:dyDescent="0.25"/>
    <row r="50" spans="2:6" ht="20.100000000000001" customHeight="1" x14ac:dyDescent="0.25"/>
    <row r="51" spans="2:6" ht="20.100000000000001" customHeight="1" x14ac:dyDescent="0.25"/>
    <row r="52" spans="2:6" ht="20.100000000000001" customHeight="1" x14ac:dyDescent="0.25"/>
    <row r="53" spans="2:6" ht="20.100000000000001" customHeight="1" x14ac:dyDescent="0.25"/>
    <row r="54" spans="2:6" ht="20.100000000000001" customHeight="1" x14ac:dyDescent="0.25"/>
    <row r="55" spans="2:6" ht="20.100000000000001" customHeight="1" x14ac:dyDescent="0.25"/>
    <row r="56" spans="2:6" ht="20.100000000000001" customHeight="1" x14ac:dyDescent="0.25"/>
    <row r="57" spans="2:6" ht="14.1" customHeight="1" x14ac:dyDescent="0.25"/>
    <row r="58" spans="2:6" ht="21.95" customHeight="1" x14ac:dyDescent="0.25">
      <c r="B58" s="7" t="s">
        <v>94</v>
      </c>
    </row>
    <row r="59" spans="2:6" ht="14.1" customHeight="1" x14ac:dyDescent="0.25"/>
    <row r="60" spans="2:6" ht="24" customHeight="1" x14ac:dyDescent="0.25">
      <c r="B60" s="10" t="s">
        <v>34</v>
      </c>
      <c r="C60" s="11" t="s">
        <v>95</v>
      </c>
      <c r="D60" s="11" t="s">
        <v>96</v>
      </c>
      <c r="E60" s="12" t="s">
        <v>15</v>
      </c>
      <c r="F60" s="10" t="s">
        <v>18</v>
      </c>
    </row>
    <row r="61" spans="2:6" ht="20.100000000000001" customHeight="1" x14ac:dyDescent="0.25">
      <c r="B61" s="15">
        <v>46144</v>
      </c>
      <c r="C61" s="16" t="s">
        <v>97</v>
      </c>
      <c r="D61" s="16" t="s">
        <v>98</v>
      </c>
      <c r="E61" s="18">
        <v>99</v>
      </c>
      <c r="F61" s="17" t="s">
        <v>31</v>
      </c>
    </row>
    <row r="62" spans="2:6" ht="20.100000000000001" customHeight="1" x14ac:dyDescent="0.25">
      <c r="B62" s="15">
        <v>46145</v>
      </c>
      <c r="C62" s="16" t="s">
        <v>99</v>
      </c>
      <c r="D62" s="16" t="s">
        <v>100</v>
      </c>
      <c r="E62" s="18">
        <v>110</v>
      </c>
      <c r="F62" s="17" t="s">
        <v>43</v>
      </c>
    </row>
    <row r="63" spans="2:6" ht="20.100000000000001" customHeight="1" x14ac:dyDescent="0.25">
      <c r="B63" s="15">
        <v>46147</v>
      </c>
      <c r="C63" s="16" t="s">
        <v>101</v>
      </c>
      <c r="D63" s="16" t="s">
        <v>102</v>
      </c>
      <c r="E63" s="18">
        <v>600</v>
      </c>
      <c r="F63" s="17" t="s">
        <v>22</v>
      </c>
    </row>
    <row r="64" spans="2:6" ht="20.100000000000001" customHeight="1" x14ac:dyDescent="0.25">
      <c r="B64" s="15">
        <v>46150</v>
      </c>
      <c r="C64" s="16" t="s">
        <v>103</v>
      </c>
      <c r="D64" s="16" t="s">
        <v>104</v>
      </c>
      <c r="E64" s="18">
        <v>300</v>
      </c>
      <c r="F64" s="17" t="s">
        <v>22</v>
      </c>
    </row>
    <row r="65" spans="2:6" ht="20.100000000000001" customHeight="1" x14ac:dyDescent="0.25">
      <c r="B65" s="15">
        <v>46152</v>
      </c>
      <c r="C65" s="16" t="s">
        <v>105</v>
      </c>
      <c r="D65" s="16" t="s">
        <v>106</v>
      </c>
      <c r="E65" s="18">
        <v>150</v>
      </c>
      <c r="F65" s="17" t="s">
        <v>31</v>
      </c>
    </row>
    <row r="66" spans="2:6" ht="20.100000000000001" customHeight="1" x14ac:dyDescent="0.25">
      <c r="B66" s="15">
        <v>46154</v>
      </c>
      <c r="C66" s="16" t="s">
        <v>107</v>
      </c>
      <c r="D66" s="16" t="s">
        <v>108</v>
      </c>
      <c r="E66" s="18">
        <v>120</v>
      </c>
      <c r="F66" s="17" t="s">
        <v>22</v>
      </c>
    </row>
    <row r="67" spans="2:6" ht="20.100000000000001" customHeight="1" x14ac:dyDescent="0.25">
      <c r="B67" s="15">
        <v>46157</v>
      </c>
      <c r="C67" s="16" t="s">
        <v>109</v>
      </c>
      <c r="D67" s="16" t="s">
        <v>110</v>
      </c>
      <c r="E67" s="18">
        <v>80</v>
      </c>
      <c r="F67" s="17" t="s">
        <v>27</v>
      </c>
    </row>
    <row r="68" spans="2:6" ht="20.100000000000001" customHeight="1" x14ac:dyDescent="0.25"/>
    <row r="69" spans="2:6" ht="20.100000000000001" customHeight="1" x14ac:dyDescent="0.25"/>
    <row r="70" spans="2:6" ht="20.100000000000001" customHeight="1" x14ac:dyDescent="0.25"/>
    <row r="71" spans="2:6" ht="20.100000000000001" customHeight="1" x14ac:dyDescent="0.25"/>
    <row r="72" spans="2:6" ht="20.100000000000001" customHeight="1" x14ac:dyDescent="0.25"/>
    <row r="73" spans="2:6" ht="20.100000000000001" customHeight="1" x14ac:dyDescent="0.25"/>
    <row r="74" spans="2:6" ht="20.100000000000001" customHeight="1" x14ac:dyDescent="0.25"/>
    <row r="75" spans="2:6" ht="14.1" customHeight="1" x14ac:dyDescent="0.25"/>
    <row r="76" spans="2:6" ht="21.95" customHeight="1" x14ac:dyDescent="0.25">
      <c r="B76" s="7" t="s">
        <v>111</v>
      </c>
    </row>
    <row r="77" spans="2:6" ht="14.1" customHeight="1" x14ac:dyDescent="0.25"/>
    <row r="78" spans="2:6" ht="24" customHeight="1" x14ac:dyDescent="0.25"/>
  </sheetData>
  <mergeCells count="3">
    <mergeCell ref="B2:F2"/>
    <mergeCell ref="L4:M4"/>
    <mergeCell ref="B3:F3"/>
  </mergeCells>
  <conditionalFormatting sqref="G7:G56">
    <cfRule type="expression" dxfId="19" priority="1">
      <formula>ISNUMBER(SEARCH("Pago",G7))</formula>
    </cfRule>
    <cfRule type="expression" dxfId="18" priority="2">
      <formula>ISNUMBER(SEARCH("Pendente",G7))</formula>
    </cfRule>
    <cfRule type="expression" dxfId="17" priority="3">
      <formula>ISNUMBER(SEARCH("Lembrete",G7))</formula>
    </cfRule>
    <cfRule type="expression" dxfId="16" priority="4">
      <formula>ISNUMBER(SEARCH("Cancelado",G7))</formula>
    </cfRule>
  </conditionalFormatting>
  <conditionalFormatting sqref="M10">
    <cfRule type="expression" dxfId="15" priority="5" stopIfTrue="1">
      <formula>MEI_Faturamento&gt;=72900</formula>
    </cfRule>
    <cfRule type="expression" dxfId="14" priority="6" stopIfTrue="1">
      <formula>MEI_Faturamento&gt;=56700</formula>
    </cfRule>
  </conditionalFormatting>
  <conditionalFormatting sqref="M9">
    <cfRule type="expression" dxfId="13" priority="7">
      <formula>M9&gt;0.15</formula>
    </cfRule>
  </conditionalFormatting>
  <dataValidations count="5">
    <dataValidation type="list" allowBlank="1" sqref="D7:D56" xr:uid="{00000000-0002-0000-0100-000000000000}">
      <formula1>"Sessão presencial,Sessão online,Supervisão,Avaliação"</formula1>
    </dataValidation>
    <dataValidation type="list" allowBlank="1" sqref="E7:E56 F61:F74" xr:uid="{00000000-0002-0000-0100-000001000000}">
      <formula1>"Pix,Dinheiro,Cartão,Convênio,Boleto"</formula1>
    </dataValidation>
    <dataValidation type="list" allowBlank="1" sqref="G7:G56" xr:uid="{00000000-0002-0000-0100-000002000000}">
      <formula1>"Pago,Pendente,Lembrete,Cancelado"</formula1>
    </dataValidation>
    <dataValidation type="list" allowBlank="1" sqref="H7:H56" xr:uid="{00000000-0002-0000-0100-000003000000}">
      <formula1>"Emitida,Não emitida"</formula1>
    </dataValidation>
    <dataValidation type="list" allowBlank="1" sqref="C61:C74" xr:uid="{00000000-0002-0000-0100-000004000000}">
      <formula1>"Aluguel,Supervisão,Marketing,Plataforma online,Materiais,Internet,Outros"</formula1>
    </dataValidation>
  </dataValidations>
  <pageMargins left="0.4" right="0.4" top="0.5" bottom="0.5" header="0.2" footer="0.2"/>
  <pageSetup fitToHeight="0" orientation="landscape"/>
  <headerFooter>
    <oddFooter>&amp;L&amp;8 &amp;K3B3B3BPsi Planner 2&amp;C&amp;8 &amp;K3B3B3BClínica Vita&amp;R&amp;8 &amp;K3B3B3B&amp;P /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3B3B3B"/>
    <pageSetUpPr fitToPage="1"/>
  </sheetPr>
  <dimension ref="B1:T56"/>
  <sheetViews>
    <sheetView showGridLines="0" showRowColHeader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3" customWidth="1"/>
    <col min="2" max="2" width="26" customWidth="1"/>
    <col min="3" max="3" width="16" customWidth="1"/>
    <col min="4" max="4" width="14" customWidth="1"/>
    <col min="5" max="5" width="13" customWidth="1"/>
    <col min="6" max="6" width="7" customWidth="1"/>
    <col min="7" max="7" width="16" customWidth="1"/>
    <col min="8" max="8" width="26" customWidth="1"/>
    <col min="9" max="9" width="30" customWidth="1"/>
    <col min="10" max="10" width="18" customWidth="1"/>
    <col min="11" max="11" width="16" customWidth="1"/>
    <col min="12" max="12" width="13" customWidth="1"/>
    <col min="13" max="15" width="14" customWidth="1"/>
    <col min="16" max="16" width="16" customWidth="1"/>
    <col min="17" max="17" width="13" customWidth="1"/>
    <col min="18" max="18" width="10" customWidth="1"/>
    <col min="19" max="19" width="14" customWidth="1"/>
    <col min="20" max="20" width="16" customWidth="1"/>
  </cols>
  <sheetData>
    <row r="1" spans="2:20" ht="18" customHeight="1" x14ac:dyDescent="0.25"/>
    <row r="2" spans="2:20" ht="39.950000000000003" customHeight="1" x14ac:dyDescent="0.25">
      <c r="B2" s="54" t="s">
        <v>112</v>
      </c>
      <c r="C2" s="46"/>
      <c r="D2" s="46"/>
      <c r="E2" s="46"/>
      <c r="F2" s="46"/>
    </row>
    <row r="3" spans="2:20" ht="14.1" customHeight="1" x14ac:dyDescent="0.25">
      <c r="B3" s="48" t="s">
        <v>113</v>
      </c>
      <c r="C3" s="46"/>
      <c r="D3" s="46"/>
      <c r="E3" s="46"/>
      <c r="F3" s="46"/>
    </row>
    <row r="4" spans="2:20" ht="14.1" customHeight="1" x14ac:dyDescent="0.25"/>
    <row r="5" spans="2:20" ht="14.1" customHeight="1" x14ac:dyDescent="0.25"/>
    <row r="6" spans="2:20" ht="27.95" customHeight="1" x14ac:dyDescent="0.25">
      <c r="B6" s="11" t="s">
        <v>114</v>
      </c>
      <c r="C6" s="10" t="s">
        <v>115</v>
      </c>
      <c r="D6" s="10" t="s">
        <v>116</v>
      </c>
      <c r="E6" s="10" t="s">
        <v>117</v>
      </c>
      <c r="F6" s="10" t="s">
        <v>118</v>
      </c>
      <c r="G6" s="10" t="s">
        <v>119</v>
      </c>
      <c r="H6" s="11" t="s">
        <v>120</v>
      </c>
      <c r="I6" s="11" t="s">
        <v>121</v>
      </c>
      <c r="J6" s="10" t="s">
        <v>33</v>
      </c>
      <c r="K6" s="11" t="s">
        <v>122</v>
      </c>
      <c r="L6" s="10" t="s">
        <v>123</v>
      </c>
      <c r="M6" s="10" t="s">
        <v>124</v>
      </c>
      <c r="N6" s="12" t="s">
        <v>125</v>
      </c>
      <c r="O6" s="10" t="s">
        <v>37</v>
      </c>
      <c r="P6" s="10" t="s">
        <v>126</v>
      </c>
      <c r="Q6" s="10" t="s">
        <v>127</v>
      </c>
      <c r="R6" s="10" t="s">
        <v>128</v>
      </c>
      <c r="S6" s="10" t="s">
        <v>129</v>
      </c>
      <c r="T6" s="12" t="s">
        <v>130</v>
      </c>
    </row>
    <row r="7" spans="2:20" ht="20.100000000000001" customHeight="1" x14ac:dyDescent="0.25">
      <c r="B7" s="16" t="s">
        <v>54</v>
      </c>
      <c r="C7" s="17" t="s">
        <v>131</v>
      </c>
      <c r="D7" s="17" t="s">
        <v>132</v>
      </c>
      <c r="E7" s="15">
        <v>32942</v>
      </c>
      <c r="F7" s="17">
        <f t="shared" ref="F7:F14" ca="1" si="0">IF(E7="","",DATEDIF(E7,TODAY(),"Y"))</f>
        <v>36</v>
      </c>
      <c r="G7" s="17" t="s">
        <v>133</v>
      </c>
      <c r="H7" s="16" t="s">
        <v>134</v>
      </c>
      <c r="I7" s="16" t="s">
        <v>135</v>
      </c>
      <c r="J7" s="17" t="s">
        <v>136</v>
      </c>
      <c r="K7" s="16" t="s">
        <v>137</v>
      </c>
      <c r="L7" s="15">
        <v>45915</v>
      </c>
      <c r="M7" s="17" t="s">
        <v>138</v>
      </c>
      <c r="N7" s="18">
        <v>180</v>
      </c>
      <c r="O7" s="17" t="s">
        <v>139</v>
      </c>
      <c r="P7" s="17">
        <v>12</v>
      </c>
      <c r="Q7" s="17">
        <v>9</v>
      </c>
      <c r="R7" s="17">
        <f t="shared" ref="R7:R14" si="1">IF(P7="","",P7-Q7)</f>
        <v>3</v>
      </c>
      <c r="S7" s="15">
        <v>46146</v>
      </c>
      <c r="T7" s="18">
        <f t="shared" ref="T7:T14" si="2">IF(N7="","",Q7*N7)</f>
        <v>1620</v>
      </c>
    </row>
    <row r="8" spans="2:20" ht="20.100000000000001" customHeight="1" x14ac:dyDescent="0.25">
      <c r="B8" s="16" t="s">
        <v>50</v>
      </c>
      <c r="C8" s="17" t="s">
        <v>140</v>
      </c>
      <c r="D8" s="17" t="s">
        <v>141</v>
      </c>
      <c r="E8" s="15">
        <v>32278</v>
      </c>
      <c r="F8" s="17">
        <f t="shared" ca="1" si="0"/>
        <v>38</v>
      </c>
      <c r="G8" s="17" t="s">
        <v>142</v>
      </c>
      <c r="H8" s="16" t="s">
        <v>143</v>
      </c>
      <c r="I8" s="16" t="s">
        <v>144</v>
      </c>
      <c r="J8" s="17" t="s">
        <v>145</v>
      </c>
      <c r="K8" s="16" t="s">
        <v>146</v>
      </c>
      <c r="L8" s="15">
        <v>45963</v>
      </c>
      <c r="M8" s="17" t="s">
        <v>138</v>
      </c>
      <c r="N8" s="18">
        <v>180</v>
      </c>
      <c r="O8" s="17" t="s">
        <v>139</v>
      </c>
      <c r="P8" s="17">
        <v>10</v>
      </c>
      <c r="Q8" s="17">
        <v>7</v>
      </c>
      <c r="R8" s="17">
        <f t="shared" si="1"/>
        <v>3</v>
      </c>
      <c r="S8" s="15">
        <v>46148</v>
      </c>
      <c r="T8" s="18">
        <f t="shared" si="2"/>
        <v>1260</v>
      </c>
    </row>
    <row r="9" spans="2:20" ht="20.100000000000001" customHeight="1" x14ac:dyDescent="0.25">
      <c r="B9" s="16" t="s">
        <v>72</v>
      </c>
      <c r="C9" s="17" t="s">
        <v>147</v>
      </c>
      <c r="D9" s="17" t="s">
        <v>148</v>
      </c>
      <c r="E9" s="15">
        <v>33752</v>
      </c>
      <c r="F9" s="17">
        <f t="shared" ca="1" si="0"/>
        <v>34</v>
      </c>
      <c r="G9" s="17" t="s">
        <v>149</v>
      </c>
      <c r="H9" s="16" t="s">
        <v>150</v>
      </c>
      <c r="I9" s="16" t="s">
        <v>151</v>
      </c>
      <c r="J9" s="17" t="s">
        <v>136</v>
      </c>
      <c r="K9" s="16" t="s">
        <v>152</v>
      </c>
      <c r="L9" s="15">
        <v>46042</v>
      </c>
      <c r="M9" s="17" t="s">
        <v>153</v>
      </c>
      <c r="N9" s="18">
        <v>150</v>
      </c>
      <c r="O9" s="17" t="s">
        <v>139</v>
      </c>
      <c r="P9" s="17">
        <v>8</v>
      </c>
      <c r="Q9" s="17">
        <v>3</v>
      </c>
      <c r="R9" s="17">
        <f t="shared" si="1"/>
        <v>5</v>
      </c>
      <c r="S9" s="15">
        <v>46153</v>
      </c>
      <c r="T9" s="18">
        <f t="shared" si="2"/>
        <v>450</v>
      </c>
    </row>
    <row r="10" spans="2:20" ht="20.100000000000001" customHeight="1" x14ac:dyDescent="0.25">
      <c r="B10" s="16" t="s">
        <v>81</v>
      </c>
      <c r="C10" s="17" t="s">
        <v>154</v>
      </c>
      <c r="D10" s="17" t="s">
        <v>155</v>
      </c>
      <c r="E10" s="15">
        <v>34888</v>
      </c>
      <c r="F10" s="17">
        <f t="shared" ca="1" si="0"/>
        <v>30</v>
      </c>
      <c r="G10" s="17" t="s">
        <v>156</v>
      </c>
      <c r="H10" s="16" t="s">
        <v>157</v>
      </c>
      <c r="I10" s="16" t="s">
        <v>158</v>
      </c>
      <c r="J10" s="17" t="s">
        <v>136</v>
      </c>
      <c r="K10" s="16" t="s">
        <v>159</v>
      </c>
      <c r="L10" s="15">
        <v>46065</v>
      </c>
      <c r="M10" s="17" t="s">
        <v>138</v>
      </c>
      <c r="N10" s="18">
        <v>200</v>
      </c>
      <c r="O10" s="17" t="s">
        <v>160</v>
      </c>
      <c r="P10" s="17">
        <v>6</v>
      </c>
      <c r="Q10" s="17">
        <v>4</v>
      </c>
      <c r="R10" s="17">
        <f t="shared" si="1"/>
        <v>2</v>
      </c>
      <c r="S10" s="15">
        <v>46127</v>
      </c>
      <c r="T10" s="18">
        <f t="shared" si="2"/>
        <v>800</v>
      </c>
    </row>
    <row r="11" spans="2:20" ht="20.100000000000001" customHeight="1" x14ac:dyDescent="0.25">
      <c r="B11" s="16" t="s">
        <v>44</v>
      </c>
      <c r="C11" s="17" t="s">
        <v>161</v>
      </c>
      <c r="D11" s="17" t="s">
        <v>162</v>
      </c>
      <c r="E11" s="15">
        <v>33388</v>
      </c>
      <c r="F11" s="17">
        <f t="shared" ca="1" si="0"/>
        <v>34</v>
      </c>
      <c r="G11" s="17" t="s">
        <v>163</v>
      </c>
      <c r="H11" s="16" t="s">
        <v>164</v>
      </c>
      <c r="I11" s="16" t="s">
        <v>165</v>
      </c>
      <c r="J11" s="17" t="s">
        <v>166</v>
      </c>
      <c r="K11" s="16" t="s">
        <v>167</v>
      </c>
      <c r="L11" s="15">
        <v>45894</v>
      </c>
      <c r="M11" s="17" t="s">
        <v>138</v>
      </c>
      <c r="N11" s="18">
        <v>180</v>
      </c>
      <c r="O11" s="17" t="s">
        <v>139</v>
      </c>
      <c r="P11" s="17">
        <v>20</v>
      </c>
      <c r="Q11" s="17">
        <v>16</v>
      </c>
      <c r="R11" s="17">
        <f t="shared" si="1"/>
        <v>4</v>
      </c>
      <c r="S11" s="15">
        <v>46160</v>
      </c>
      <c r="T11" s="18">
        <f t="shared" si="2"/>
        <v>2880</v>
      </c>
    </row>
    <row r="12" spans="2:20" ht="20.100000000000001" customHeight="1" x14ac:dyDescent="0.25">
      <c r="B12" s="16" t="s">
        <v>60</v>
      </c>
      <c r="C12" s="17" t="s">
        <v>168</v>
      </c>
      <c r="D12" s="17" t="s">
        <v>169</v>
      </c>
      <c r="E12" s="15">
        <v>32671</v>
      </c>
      <c r="F12" s="17">
        <f t="shared" ca="1" si="0"/>
        <v>36</v>
      </c>
      <c r="G12" s="17" t="s">
        <v>170</v>
      </c>
      <c r="H12" s="16" t="s">
        <v>171</v>
      </c>
      <c r="I12" s="16" t="s">
        <v>172</v>
      </c>
      <c r="J12" s="17" t="s">
        <v>136</v>
      </c>
      <c r="K12" s="16" t="s">
        <v>173</v>
      </c>
      <c r="L12" s="15">
        <v>45992</v>
      </c>
      <c r="M12" s="17" t="s">
        <v>153</v>
      </c>
      <c r="N12" s="18">
        <v>180</v>
      </c>
      <c r="O12" s="17" t="s">
        <v>139</v>
      </c>
      <c r="P12" s="17">
        <v>10</v>
      </c>
      <c r="Q12" s="17">
        <v>5</v>
      </c>
      <c r="R12" s="17">
        <f t="shared" si="1"/>
        <v>5</v>
      </c>
      <c r="S12" s="15">
        <v>46164</v>
      </c>
      <c r="T12" s="18">
        <f t="shared" si="2"/>
        <v>900</v>
      </c>
    </row>
    <row r="13" spans="2:20" ht="20.100000000000001" customHeight="1" x14ac:dyDescent="0.25">
      <c r="B13" s="16" t="s">
        <v>91</v>
      </c>
      <c r="C13" s="17" t="s">
        <v>174</v>
      </c>
      <c r="D13" s="17" t="s">
        <v>175</v>
      </c>
      <c r="E13" s="15">
        <v>34602</v>
      </c>
      <c r="F13" s="17">
        <f t="shared" ca="1" si="0"/>
        <v>31</v>
      </c>
      <c r="G13" s="17" t="s">
        <v>176</v>
      </c>
      <c r="H13" s="16" t="s">
        <v>177</v>
      </c>
      <c r="I13" s="16" t="s">
        <v>178</v>
      </c>
      <c r="J13" s="17" t="s">
        <v>179</v>
      </c>
      <c r="K13" s="16" t="s">
        <v>180</v>
      </c>
      <c r="L13" s="15">
        <v>46084</v>
      </c>
      <c r="M13" s="17" t="s">
        <v>138</v>
      </c>
      <c r="N13" s="18">
        <v>180</v>
      </c>
      <c r="O13" s="17" t="s">
        <v>139</v>
      </c>
      <c r="P13" s="17">
        <v>8</v>
      </c>
      <c r="Q13" s="17">
        <v>6</v>
      </c>
      <c r="R13" s="17">
        <f t="shared" si="1"/>
        <v>2</v>
      </c>
      <c r="S13" s="15">
        <v>46167</v>
      </c>
      <c r="T13" s="18">
        <f t="shared" si="2"/>
        <v>1080</v>
      </c>
    </row>
    <row r="14" spans="2:20" ht="20.100000000000001" customHeight="1" x14ac:dyDescent="0.25">
      <c r="B14" s="16" t="s">
        <v>88</v>
      </c>
      <c r="C14" s="17" t="s">
        <v>181</v>
      </c>
      <c r="D14" s="17" t="s">
        <v>182</v>
      </c>
      <c r="E14" s="15">
        <v>31566</v>
      </c>
      <c r="F14" s="17">
        <f t="shared" ca="1" si="0"/>
        <v>39</v>
      </c>
      <c r="G14" s="17" t="s">
        <v>183</v>
      </c>
      <c r="H14" s="16" t="s">
        <v>184</v>
      </c>
      <c r="I14" s="16" t="s">
        <v>185</v>
      </c>
      <c r="J14" s="17" t="s">
        <v>136</v>
      </c>
      <c r="K14" s="16" t="s">
        <v>186</v>
      </c>
      <c r="L14" s="15">
        <v>46032</v>
      </c>
      <c r="M14" s="17" t="s">
        <v>187</v>
      </c>
      <c r="N14" s="18">
        <v>150</v>
      </c>
      <c r="O14" s="17" t="s">
        <v>139</v>
      </c>
      <c r="P14" s="17">
        <v>6</v>
      </c>
      <c r="Q14" s="17">
        <v>2</v>
      </c>
      <c r="R14" s="17">
        <f t="shared" si="1"/>
        <v>4</v>
      </c>
      <c r="S14" s="15">
        <v>46162</v>
      </c>
      <c r="T14" s="18">
        <f t="shared" si="2"/>
        <v>300</v>
      </c>
    </row>
    <row r="15" spans="2:20" ht="20.100000000000001" customHeight="1" x14ac:dyDescent="0.25"/>
    <row r="16" spans="2:20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</sheetData>
  <mergeCells count="2">
    <mergeCell ref="B2:F2"/>
    <mergeCell ref="B3:F3"/>
  </mergeCells>
  <conditionalFormatting sqref="O7:O56">
    <cfRule type="expression" dxfId="12" priority="1">
      <formula>ISNUMBER(SEARCH("Ativo",O7))</formula>
    </cfRule>
    <cfRule type="expression" dxfId="11" priority="2">
      <formula>ISNUMBER(SEARCH("Pausado",O7))</formula>
    </cfRule>
    <cfRule type="expression" dxfId="10" priority="3">
      <formula>ISNUMBER(SEARCH("Alta",O7))</formula>
    </cfRule>
    <cfRule type="expression" dxfId="9" priority="4">
      <formula>ISNUMBER(SEARCH("Inativo",O7))</formula>
    </cfRule>
  </conditionalFormatting>
  <dataValidations count="3">
    <dataValidation type="list" allowBlank="1" sqref="J7:J56" xr:uid="{00000000-0002-0000-0200-000000000000}">
      <formula1>"Particular,Unimed,Bradesco,SulAmérica,Amil"</formula1>
    </dataValidation>
    <dataValidation type="list" allowBlank="1" sqref="M7:M56" xr:uid="{00000000-0002-0000-0200-000001000000}">
      <formula1>"Semanal,Quinzenal,Mensal"</formula1>
    </dataValidation>
    <dataValidation type="list" allowBlank="1" sqref="O7:O56" xr:uid="{00000000-0002-0000-0200-000002000000}">
      <formula1>"Ativo,Pausado,Alta,Inativo"</formula1>
    </dataValidation>
  </dataValidations>
  <pageMargins left="0.4" right="0.4" top="0.5" bottom="0.5" header="0.2" footer="0.2"/>
  <pageSetup fitToHeight="0" orientation="landscape"/>
  <headerFooter>
    <oddFooter>&amp;L&amp;8 &amp;K3B3B3BPsi Planner 2&amp;C&amp;8 &amp;K3B3B3BClínica Vita&amp;R&amp;8 &amp;K3B3B3B&amp;P /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3B3B3B"/>
    <pageSetUpPr fitToPage="1"/>
  </sheetPr>
  <dimension ref="A1:AP160"/>
  <sheetViews>
    <sheetView showGridLines="0" showRowColHeaders="0" workbookViewId="0"/>
  </sheetViews>
  <sheetFormatPr defaultRowHeight="15" x14ac:dyDescent="0.25"/>
  <cols>
    <col min="1" max="1" width="3" customWidth="1"/>
    <col min="2" max="2" width="9" customWidth="1"/>
    <col min="3" max="8" width="20" customWidth="1"/>
    <col min="9" max="9" width="4" customWidth="1"/>
    <col min="10" max="10" width="26" customWidth="1"/>
    <col min="11" max="11" width="16" customWidth="1"/>
    <col min="28" max="42" width="13" hidden="1" customWidth="1"/>
  </cols>
  <sheetData>
    <row r="1" spans="2:11" ht="18" customHeight="1" x14ac:dyDescent="0.25"/>
    <row r="2" spans="2:11" ht="39.950000000000003" customHeight="1" x14ac:dyDescent="0.25">
      <c r="B2" s="54" t="s">
        <v>188</v>
      </c>
      <c r="C2" s="46"/>
      <c r="D2" s="46"/>
      <c r="E2" s="46"/>
      <c r="F2" s="46"/>
    </row>
    <row r="3" spans="2:11" ht="14.1" customHeight="1" x14ac:dyDescent="0.25">
      <c r="B3" s="48" t="str">
        <f ca="1">"Semana de "&amp;TEXT(TODAY()-WEEKDAY(TODAY(),2)+1,"dd/mm")&amp;" a "&amp;TEXT(TODAY()-WEEKDAY(TODAY(),2)+6,"dd/mm")&amp;" · agenda de atendimentos"</f>
        <v>Semana de 25/05 a 30/05 · agenda de atendimentos</v>
      </c>
      <c r="C3" s="46"/>
      <c r="D3" s="46"/>
      <c r="E3" s="46"/>
      <c r="F3" s="46"/>
    </row>
    <row r="4" spans="2:11" ht="14.1" customHeight="1" x14ac:dyDescent="0.25">
      <c r="J4" s="55" t="s">
        <v>189</v>
      </c>
      <c r="K4" s="46"/>
    </row>
    <row r="5" spans="2:11" ht="24" customHeight="1" x14ac:dyDescent="0.25">
      <c r="B5" s="25" t="s">
        <v>190</v>
      </c>
      <c r="C5" s="25" t="s">
        <v>191</v>
      </c>
      <c r="D5" s="25" t="s">
        <v>192</v>
      </c>
      <c r="E5" s="25" t="s">
        <v>193</v>
      </c>
      <c r="F5" s="25" t="s">
        <v>194</v>
      </c>
      <c r="G5" s="25" t="s">
        <v>195</v>
      </c>
      <c r="H5" s="25" t="s">
        <v>196</v>
      </c>
      <c r="J5" s="22" t="s">
        <v>197</v>
      </c>
      <c r="K5" s="26">
        <f ca="1">SUMPRODUCT((CAL_LogData=TODAY())*1)</f>
        <v>1</v>
      </c>
    </row>
    <row r="6" spans="2:11" ht="30" customHeight="1" x14ac:dyDescent="0.25">
      <c r="B6" s="27" t="s">
        <v>198</v>
      </c>
      <c r="C6" s="2"/>
      <c r="D6" s="2"/>
      <c r="E6" s="2"/>
      <c r="F6" s="2"/>
      <c r="G6" s="2"/>
      <c r="H6" s="2"/>
      <c r="J6" s="22" t="s">
        <v>199</v>
      </c>
      <c r="K6" s="28">
        <f>IFERROR(COUNTIF(CAL_LogStatus,"Cancelado")/COUNTA(CAL_LogStatus),0)</f>
        <v>3.125E-2</v>
      </c>
    </row>
    <row r="7" spans="2:11" ht="30" customHeight="1" x14ac:dyDescent="0.25">
      <c r="B7" s="27" t="s">
        <v>200</v>
      </c>
      <c r="C7" s="2"/>
      <c r="D7" s="2"/>
      <c r="E7" s="2"/>
      <c r="F7" s="2"/>
      <c r="G7" s="2"/>
      <c r="H7" s="29" t="s">
        <v>201</v>
      </c>
      <c r="J7" s="22" t="s">
        <v>202</v>
      </c>
      <c r="K7" s="28">
        <f>IFERROR(COUNTIF(CAL_LogStatus,"Faltou")/COUNTA(CAL_LogStatus),0)</f>
        <v>3.125E-2</v>
      </c>
    </row>
    <row r="8" spans="2:11" ht="30" customHeight="1" x14ac:dyDescent="0.25">
      <c r="B8" s="27" t="s">
        <v>203</v>
      </c>
      <c r="C8" s="2"/>
      <c r="D8" s="2"/>
      <c r="E8" s="2"/>
      <c r="F8" s="29" t="s">
        <v>204</v>
      </c>
      <c r="G8" s="2"/>
      <c r="H8" s="2"/>
    </row>
    <row r="9" spans="2:11" ht="30" customHeight="1" x14ac:dyDescent="0.25">
      <c r="B9" s="27" t="s">
        <v>205</v>
      </c>
      <c r="C9" s="2"/>
      <c r="D9" s="29" t="s">
        <v>206</v>
      </c>
      <c r="E9" s="2"/>
      <c r="F9" s="2"/>
      <c r="G9" s="2"/>
      <c r="H9" s="2"/>
    </row>
    <row r="10" spans="2:11" ht="30" customHeight="1" x14ac:dyDescent="0.25">
      <c r="B10" s="27" t="s">
        <v>207</v>
      </c>
      <c r="C10" s="29" t="s">
        <v>208</v>
      </c>
      <c r="D10" s="2"/>
      <c r="E10" s="2"/>
      <c r="F10" s="2"/>
      <c r="G10" s="2"/>
      <c r="H10" s="2"/>
      <c r="J10" s="55" t="s">
        <v>209</v>
      </c>
      <c r="K10" s="46"/>
    </row>
    <row r="11" spans="2:11" ht="30" customHeight="1" x14ac:dyDescent="0.25">
      <c r="B11" s="27" t="s">
        <v>210</v>
      </c>
      <c r="C11" s="2"/>
      <c r="D11" s="2"/>
      <c r="E11" s="2"/>
      <c r="F11" s="2"/>
      <c r="G11" s="2"/>
      <c r="H11" s="2"/>
      <c r="J11" s="30" t="s">
        <v>114</v>
      </c>
      <c r="K11" s="31" t="s">
        <v>119</v>
      </c>
    </row>
    <row r="12" spans="2:11" ht="30" customHeight="1" x14ac:dyDescent="0.25">
      <c r="B12" s="27" t="s">
        <v>211</v>
      </c>
      <c r="C12" s="2"/>
      <c r="D12" s="2"/>
      <c r="E12" s="2"/>
      <c r="F12" s="2"/>
      <c r="G12" s="2"/>
      <c r="H12" s="2"/>
      <c r="J12" s="32" t="s">
        <v>212</v>
      </c>
      <c r="K12" s="33" t="s">
        <v>213</v>
      </c>
    </row>
    <row r="13" spans="2:11" ht="30" customHeight="1" x14ac:dyDescent="0.25">
      <c r="B13" s="27" t="s">
        <v>214</v>
      </c>
      <c r="C13" s="29" t="s">
        <v>215</v>
      </c>
      <c r="D13" s="2"/>
      <c r="E13" s="2"/>
      <c r="F13" s="2"/>
      <c r="G13" s="2"/>
      <c r="H13" s="2"/>
      <c r="J13" s="32" t="s">
        <v>216</v>
      </c>
      <c r="K13" s="33" t="s">
        <v>217</v>
      </c>
    </row>
    <row r="14" spans="2:11" ht="30" customHeight="1" x14ac:dyDescent="0.25">
      <c r="B14" s="27" t="s">
        <v>218</v>
      </c>
      <c r="C14" s="2"/>
      <c r="D14" s="2"/>
      <c r="E14" s="29" t="s">
        <v>219</v>
      </c>
      <c r="F14" s="2"/>
      <c r="G14" s="2"/>
      <c r="H14" s="2"/>
      <c r="J14" s="2"/>
      <c r="K14" s="2"/>
    </row>
    <row r="15" spans="2:11" ht="30" customHeight="1" x14ac:dyDescent="0.25">
      <c r="B15" s="27" t="s">
        <v>220</v>
      </c>
      <c r="C15" s="2"/>
      <c r="D15" s="2"/>
      <c r="E15" s="2"/>
      <c r="F15" s="2"/>
      <c r="G15" s="29" t="s">
        <v>221</v>
      </c>
      <c r="H15" s="2"/>
      <c r="J15" s="2"/>
      <c r="K15" s="2"/>
    </row>
    <row r="16" spans="2:11" ht="30" customHeight="1" x14ac:dyDescent="0.25">
      <c r="B16" s="27" t="s">
        <v>222</v>
      </c>
      <c r="C16" s="2"/>
      <c r="D16" s="2"/>
      <c r="E16" s="2"/>
      <c r="F16" s="2"/>
      <c r="G16" s="2"/>
      <c r="H16" s="2"/>
      <c r="J16" s="2"/>
      <c r="K16" s="2"/>
    </row>
    <row r="17" spans="2:11" ht="30" customHeight="1" x14ac:dyDescent="0.25">
      <c r="B17" s="27" t="s">
        <v>223</v>
      </c>
      <c r="C17" s="2"/>
      <c r="D17" s="2"/>
      <c r="E17" s="2"/>
      <c r="F17" s="2"/>
      <c r="G17" s="2"/>
      <c r="H17" s="2"/>
      <c r="J17" s="2"/>
      <c r="K17" s="2"/>
    </row>
    <row r="18" spans="2:11" ht="30" customHeight="1" x14ac:dyDescent="0.25">
      <c r="B18" s="27" t="s">
        <v>224</v>
      </c>
      <c r="C18" s="2"/>
      <c r="D18" s="2"/>
      <c r="E18" s="29" t="s">
        <v>225</v>
      </c>
      <c r="F18" s="2"/>
      <c r="G18" s="2"/>
      <c r="H18" s="2"/>
      <c r="J18" s="2"/>
      <c r="K18" s="2"/>
    </row>
    <row r="19" spans="2:11" ht="30" customHeight="1" x14ac:dyDescent="0.25">
      <c r="B19" s="27" t="s">
        <v>226</v>
      </c>
      <c r="C19" s="2"/>
      <c r="D19" s="2"/>
      <c r="E19" s="2"/>
      <c r="F19" s="2"/>
      <c r="G19" s="2"/>
      <c r="H19" s="2"/>
      <c r="J19" s="2"/>
      <c r="K19" s="2"/>
    </row>
    <row r="20" spans="2:11" ht="30" customHeight="1" x14ac:dyDescent="0.25">
      <c r="B20" s="27" t="s">
        <v>227</v>
      </c>
      <c r="C20" s="2"/>
      <c r="D20" s="2"/>
      <c r="E20" s="2"/>
      <c r="F20" s="2"/>
      <c r="G20" s="2"/>
      <c r="H20" s="2"/>
      <c r="J20" s="2"/>
      <c r="K20" s="2"/>
    </row>
    <row r="21" spans="2:11" ht="30" customHeight="1" x14ac:dyDescent="0.25">
      <c r="B21" s="27" t="s">
        <v>228</v>
      </c>
      <c r="C21" s="2"/>
      <c r="D21" s="2"/>
      <c r="E21" s="2"/>
      <c r="F21" s="2"/>
      <c r="G21" s="2"/>
      <c r="H21" s="2"/>
    </row>
    <row r="96" hidden="1" x14ac:dyDescent="0.25"/>
    <row r="97" spans="1:28" ht="18" hidden="1" x14ac:dyDescent="0.45">
      <c r="B97" s="34"/>
    </row>
    <row r="98" spans="1:28" hidden="1" x14ac:dyDescent="0.25"/>
    <row r="99" spans="1:28" ht="18" hidden="1" x14ac:dyDescent="0.45">
      <c r="A99" s="34" t="s">
        <v>34</v>
      </c>
      <c r="B99" s="34" t="s">
        <v>190</v>
      </c>
      <c r="C99" s="34" t="s">
        <v>35</v>
      </c>
      <c r="D99" s="34" t="s">
        <v>14</v>
      </c>
      <c r="E99" s="34" t="s">
        <v>37</v>
      </c>
    </row>
    <row r="100" spans="1:28" ht="18" hidden="1" x14ac:dyDescent="0.45">
      <c r="A100" s="35">
        <v>46167</v>
      </c>
      <c r="B100" s="34" t="s">
        <v>229</v>
      </c>
      <c r="C100" s="34" t="s">
        <v>54</v>
      </c>
      <c r="D100" s="34" t="s">
        <v>230</v>
      </c>
      <c r="E100" s="34" t="s">
        <v>231</v>
      </c>
      <c r="AB100" t="str">
        <f t="shared" ref="AB100:AB131" ca="1" si="0">IF(AND(A100&lt;&gt;"",A100&gt;=TODAY()),A100,"")</f>
        <v/>
      </c>
    </row>
    <row r="101" spans="1:28" ht="18" hidden="1" x14ac:dyDescent="0.45">
      <c r="A101" s="35">
        <v>46168</v>
      </c>
      <c r="B101" s="34" t="s">
        <v>232</v>
      </c>
      <c r="C101" s="34" t="s">
        <v>50</v>
      </c>
      <c r="D101" s="34" t="s">
        <v>233</v>
      </c>
      <c r="E101" s="34" t="s">
        <v>234</v>
      </c>
      <c r="AB101" t="str">
        <f t="shared" ca="1" si="0"/>
        <v/>
      </c>
    </row>
    <row r="102" spans="1:28" ht="18" hidden="1" x14ac:dyDescent="0.45">
      <c r="A102" s="35">
        <v>46169</v>
      </c>
      <c r="B102" s="34" t="s">
        <v>235</v>
      </c>
      <c r="C102" s="34" t="s">
        <v>72</v>
      </c>
      <c r="D102" s="34" t="s">
        <v>230</v>
      </c>
      <c r="E102" s="34" t="s">
        <v>234</v>
      </c>
      <c r="AB102" t="str">
        <f t="shared" ca="1" si="0"/>
        <v/>
      </c>
    </row>
    <row r="103" spans="1:28" ht="18" hidden="1" x14ac:dyDescent="0.45">
      <c r="A103" s="35">
        <v>46170</v>
      </c>
      <c r="B103" s="34" t="s">
        <v>236</v>
      </c>
      <c r="C103" s="34" t="s">
        <v>81</v>
      </c>
      <c r="D103" s="34" t="s">
        <v>230</v>
      </c>
      <c r="E103" s="34" t="s">
        <v>237</v>
      </c>
      <c r="AB103">
        <f t="shared" ca="1" si="0"/>
        <v>46170</v>
      </c>
    </row>
    <row r="104" spans="1:28" ht="18" hidden="1" x14ac:dyDescent="0.45">
      <c r="A104" s="35">
        <v>46171</v>
      </c>
      <c r="B104" s="34" t="s">
        <v>238</v>
      </c>
      <c r="C104" s="34" t="s">
        <v>44</v>
      </c>
      <c r="D104" s="34" t="s">
        <v>233</v>
      </c>
      <c r="E104" s="34" t="s">
        <v>234</v>
      </c>
      <c r="AB104">
        <f t="shared" ca="1" si="0"/>
        <v>46171</v>
      </c>
    </row>
    <row r="105" spans="1:28" ht="18" hidden="1" x14ac:dyDescent="0.45">
      <c r="A105" s="35">
        <v>46172</v>
      </c>
      <c r="B105" s="34" t="s">
        <v>239</v>
      </c>
      <c r="C105" s="34" t="s">
        <v>88</v>
      </c>
      <c r="D105" s="34" t="s">
        <v>230</v>
      </c>
      <c r="E105" s="34" t="s">
        <v>82</v>
      </c>
      <c r="AB105">
        <f t="shared" ca="1" si="0"/>
        <v>46172</v>
      </c>
    </row>
    <row r="106" spans="1:28" ht="18" hidden="1" x14ac:dyDescent="0.45">
      <c r="A106" s="35">
        <v>46167</v>
      </c>
      <c r="B106" s="34" t="s">
        <v>240</v>
      </c>
      <c r="C106" s="34" t="s">
        <v>60</v>
      </c>
      <c r="D106" s="34" t="s">
        <v>230</v>
      </c>
      <c r="E106" s="34" t="s">
        <v>234</v>
      </c>
      <c r="AB106" t="str">
        <f t="shared" ca="1" si="0"/>
        <v/>
      </c>
    </row>
    <row r="107" spans="1:28" ht="18" hidden="1" x14ac:dyDescent="0.45">
      <c r="A107" s="35">
        <v>46169</v>
      </c>
      <c r="B107" s="34" t="s">
        <v>241</v>
      </c>
      <c r="C107" s="34" t="s">
        <v>91</v>
      </c>
      <c r="D107" s="34" t="s">
        <v>233</v>
      </c>
      <c r="E107" s="34" t="s">
        <v>231</v>
      </c>
      <c r="AB107" t="str">
        <f t="shared" ca="1" si="0"/>
        <v/>
      </c>
    </row>
    <row r="108" spans="1:28" ht="18" hidden="1" x14ac:dyDescent="0.45">
      <c r="A108" s="35">
        <v>46028</v>
      </c>
      <c r="B108" s="34" t="s">
        <v>239</v>
      </c>
      <c r="C108" s="34" t="s">
        <v>54</v>
      </c>
      <c r="D108" s="34" t="s">
        <v>230</v>
      </c>
      <c r="E108" s="34" t="s">
        <v>231</v>
      </c>
      <c r="AB108" t="str">
        <f t="shared" ca="1" si="0"/>
        <v/>
      </c>
    </row>
    <row r="109" spans="1:28" ht="18" hidden="1" x14ac:dyDescent="0.45">
      <c r="A109" s="35">
        <v>46031</v>
      </c>
      <c r="B109" s="34" t="s">
        <v>232</v>
      </c>
      <c r="C109" s="34" t="s">
        <v>44</v>
      </c>
      <c r="D109" s="34" t="s">
        <v>233</v>
      </c>
      <c r="E109" s="34" t="s">
        <v>231</v>
      </c>
      <c r="AB109" t="str">
        <f t="shared" ca="1" si="0"/>
        <v/>
      </c>
    </row>
    <row r="110" spans="1:28" ht="18" hidden="1" x14ac:dyDescent="0.45">
      <c r="A110" s="35">
        <v>46035</v>
      </c>
      <c r="B110" s="34" t="s">
        <v>229</v>
      </c>
      <c r="C110" s="34" t="s">
        <v>50</v>
      </c>
      <c r="D110" s="34" t="s">
        <v>233</v>
      </c>
      <c r="E110" s="34" t="s">
        <v>231</v>
      </c>
      <c r="AB110" t="str">
        <f t="shared" ca="1" si="0"/>
        <v/>
      </c>
    </row>
    <row r="111" spans="1:28" ht="18" hidden="1" x14ac:dyDescent="0.45">
      <c r="A111" s="35">
        <v>46038</v>
      </c>
      <c r="B111" s="34" t="s">
        <v>240</v>
      </c>
      <c r="C111" s="34" t="s">
        <v>60</v>
      </c>
      <c r="D111" s="34" t="s">
        <v>230</v>
      </c>
      <c r="E111" s="34" t="s">
        <v>231</v>
      </c>
      <c r="AB111" t="str">
        <f t="shared" ca="1" si="0"/>
        <v/>
      </c>
    </row>
    <row r="112" spans="1:28" ht="18" hidden="1" x14ac:dyDescent="0.45">
      <c r="A112" s="35">
        <v>46045</v>
      </c>
      <c r="B112" s="34" t="s">
        <v>235</v>
      </c>
      <c r="C112" s="34" t="s">
        <v>72</v>
      </c>
      <c r="D112" s="34" t="s">
        <v>230</v>
      </c>
      <c r="E112" s="34" t="s">
        <v>231</v>
      </c>
      <c r="AB112" t="str">
        <f t="shared" ca="1" si="0"/>
        <v/>
      </c>
    </row>
    <row r="113" spans="1:28" ht="18" hidden="1" x14ac:dyDescent="0.45">
      <c r="A113" s="35">
        <v>46050</v>
      </c>
      <c r="B113" s="34" t="s">
        <v>238</v>
      </c>
      <c r="C113" s="34" t="s">
        <v>91</v>
      </c>
      <c r="D113" s="34" t="s">
        <v>233</v>
      </c>
      <c r="E113" s="34" t="s">
        <v>231</v>
      </c>
      <c r="AB113" t="str">
        <f t="shared" ca="1" si="0"/>
        <v/>
      </c>
    </row>
    <row r="114" spans="1:28" ht="18" hidden="1" x14ac:dyDescent="0.45">
      <c r="A114" s="35">
        <v>46056</v>
      </c>
      <c r="B114" s="34" t="s">
        <v>236</v>
      </c>
      <c r="C114" s="34" t="s">
        <v>54</v>
      </c>
      <c r="D114" s="34" t="s">
        <v>230</v>
      </c>
      <c r="E114" s="34" t="s">
        <v>231</v>
      </c>
      <c r="AB114" t="str">
        <f t="shared" ca="1" si="0"/>
        <v/>
      </c>
    </row>
    <row r="115" spans="1:28" ht="18" hidden="1" x14ac:dyDescent="0.45">
      <c r="A115" s="35">
        <v>46059</v>
      </c>
      <c r="B115" s="34" t="s">
        <v>232</v>
      </c>
      <c r="C115" s="34" t="s">
        <v>50</v>
      </c>
      <c r="D115" s="34" t="s">
        <v>233</v>
      </c>
      <c r="E115" s="34" t="s">
        <v>231</v>
      </c>
      <c r="AB115" t="str">
        <f t="shared" ca="1" si="0"/>
        <v/>
      </c>
    </row>
    <row r="116" spans="1:28" ht="18" hidden="1" x14ac:dyDescent="0.45">
      <c r="A116" s="35">
        <v>46066</v>
      </c>
      <c r="B116" s="34" t="s">
        <v>229</v>
      </c>
      <c r="C116" s="34" t="s">
        <v>44</v>
      </c>
      <c r="D116" s="34" t="s">
        <v>233</v>
      </c>
      <c r="E116" s="34" t="s">
        <v>231</v>
      </c>
      <c r="AB116" t="str">
        <f t="shared" ca="1" si="0"/>
        <v/>
      </c>
    </row>
    <row r="117" spans="1:28" ht="18" hidden="1" x14ac:dyDescent="0.45">
      <c r="A117" s="35">
        <v>46070</v>
      </c>
      <c r="B117" s="34" t="s">
        <v>240</v>
      </c>
      <c r="C117" s="34" t="s">
        <v>60</v>
      </c>
      <c r="D117" s="34" t="s">
        <v>230</v>
      </c>
      <c r="E117" s="34" t="s">
        <v>231</v>
      </c>
      <c r="AB117" t="str">
        <f t="shared" ca="1" si="0"/>
        <v/>
      </c>
    </row>
    <row r="118" spans="1:28" ht="18" hidden="1" x14ac:dyDescent="0.45">
      <c r="A118" s="35">
        <v>46073</v>
      </c>
      <c r="B118" s="34" t="s">
        <v>238</v>
      </c>
      <c r="C118" s="34" t="s">
        <v>72</v>
      </c>
      <c r="D118" s="34" t="s">
        <v>230</v>
      </c>
      <c r="E118" s="34" t="s">
        <v>231</v>
      </c>
      <c r="AB118" t="str">
        <f t="shared" ca="1" si="0"/>
        <v/>
      </c>
    </row>
    <row r="119" spans="1:28" ht="18" hidden="1" x14ac:dyDescent="0.45">
      <c r="A119" s="35">
        <v>46077</v>
      </c>
      <c r="B119" s="34" t="s">
        <v>235</v>
      </c>
      <c r="C119" s="34" t="s">
        <v>54</v>
      </c>
      <c r="D119" s="34" t="s">
        <v>230</v>
      </c>
      <c r="E119" s="34" t="s">
        <v>231</v>
      </c>
      <c r="AB119" t="str">
        <f t="shared" ca="1" si="0"/>
        <v/>
      </c>
    </row>
    <row r="120" spans="1:28" ht="18" hidden="1" x14ac:dyDescent="0.45">
      <c r="A120" s="35">
        <v>46086</v>
      </c>
      <c r="B120" s="34" t="s">
        <v>232</v>
      </c>
      <c r="C120" s="34" t="s">
        <v>54</v>
      </c>
      <c r="D120" s="34" t="s">
        <v>230</v>
      </c>
      <c r="E120" s="34" t="s">
        <v>231</v>
      </c>
      <c r="AB120" t="str">
        <f t="shared" ca="1" si="0"/>
        <v/>
      </c>
    </row>
    <row r="121" spans="1:28" ht="18" hidden="1" x14ac:dyDescent="0.45">
      <c r="A121" s="35">
        <v>46090</v>
      </c>
      <c r="B121" s="34" t="s">
        <v>239</v>
      </c>
      <c r="C121" s="34" t="s">
        <v>50</v>
      </c>
      <c r="D121" s="34" t="s">
        <v>233</v>
      </c>
      <c r="E121" s="34" t="s">
        <v>231</v>
      </c>
      <c r="AB121" t="str">
        <f t="shared" ca="1" si="0"/>
        <v/>
      </c>
    </row>
    <row r="122" spans="1:28" ht="18" hidden="1" x14ac:dyDescent="0.45">
      <c r="A122" s="35">
        <v>46093</v>
      </c>
      <c r="B122" s="34" t="s">
        <v>240</v>
      </c>
      <c r="C122" s="34" t="s">
        <v>44</v>
      </c>
      <c r="D122" s="34" t="s">
        <v>233</v>
      </c>
      <c r="E122" s="34" t="s">
        <v>231</v>
      </c>
      <c r="AB122" t="str">
        <f t="shared" ca="1" si="0"/>
        <v/>
      </c>
    </row>
    <row r="123" spans="1:28" ht="18" hidden="1" x14ac:dyDescent="0.45">
      <c r="A123" s="35">
        <v>46098</v>
      </c>
      <c r="B123" s="34" t="s">
        <v>229</v>
      </c>
      <c r="C123" s="34" t="s">
        <v>72</v>
      </c>
      <c r="D123" s="34" t="s">
        <v>230</v>
      </c>
      <c r="E123" s="34" t="s">
        <v>231</v>
      </c>
      <c r="AB123" t="str">
        <f t="shared" ca="1" si="0"/>
        <v/>
      </c>
    </row>
    <row r="124" spans="1:28" ht="18" hidden="1" x14ac:dyDescent="0.45">
      <c r="A124" s="35">
        <v>46105</v>
      </c>
      <c r="B124" s="34" t="s">
        <v>238</v>
      </c>
      <c r="C124" s="34" t="s">
        <v>60</v>
      </c>
      <c r="D124" s="34" t="s">
        <v>230</v>
      </c>
      <c r="E124" s="34" t="s">
        <v>231</v>
      </c>
      <c r="AB124" t="str">
        <f t="shared" ca="1" si="0"/>
        <v/>
      </c>
    </row>
    <row r="125" spans="1:28" ht="18" hidden="1" x14ac:dyDescent="0.45">
      <c r="A125" s="35">
        <v>46107</v>
      </c>
      <c r="B125" s="34" t="s">
        <v>235</v>
      </c>
      <c r="C125" s="34" t="s">
        <v>91</v>
      </c>
      <c r="D125" s="34" t="s">
        <v>233</v>
      </c>
      <c r="E125" s="34" t="s">
        <v>231</v>
      </c>
      <c r="AB125" t="str">
        <f t="shared" ca="1" si="0"/>
        <v/>
      </c>
    </row>
    <row r="126" spans="1:28" ht="18" hidden="1" x14ac:dyDescent="0.45">
      <c r="A126" s="35">
        <v>46114</v>
      </c>
      <c r="B126" s="34" t="s">
        <v>236</v>
      </c>
      <c r="C126" s="34" t="s">
        <v>54</v>
      </c>
      <c r="D126" s="34" t="s">
        <v>230</v>
      </c>
      <c r="E126" s="34" t="s">
        <v>231</v>
      </c>
      <c r="AB126" t="str">
        <f t="shared" ca="1" si="0"/>
        <v/>
      </c>
    </row>
    <row r="127" spans="1:28" ht="18" hidden="1" x14ac:dyDescent="0.45">
      <c r="A127" s="35">
        <v>46119</v>
      </c>
      <c r="B127" s="34" t="s">
        <v>232</v>
      </c>
      <c r="C127" s="34" t="s">
        <v>50</v>
      </c>
      <c r="D127" s="34" t="s">
        <v>233</v>
      </c>
      <c r="E127" s="34" t="s">
        <v>231</v>
      </c>
      <c r="AB127" t="str">
        <f t="shared" ca="1" si="0"/>
        <v/>
      </c>
    </row>
    <row r="128" spans="1:28" ht="18" hidden="1" x14ac:dyDescent="0.45">
      <c r="A128" s="35">
        <v>46122</v>
      </c>
      <c r="B128" s="34" t="s">
        <v>229</v>
      </c>
      <c r="C128" s="34" t="s">
        <v>44</v>
      </c>
      <c r="D128" s="34" t="s">
        <v>233</v>
      </c>
      <c r="E128" s="34" t="s">
        <v>231</v>
      </c>
      <c r="AB128" t="str">
        <f t="shared" ca="1" si="0"/>
        <v/>
      </c>
    </row>
    <row r="129" spans="1:28" ht="18" hidden="1" x14ac:dyDescent="0.45">
      <c r="A129" s="35">
        <v>46128</v>
      </c>
      <c r="B129" s="34" t="s">
        <v>240</v>
      </c>
      <c r="C129" s="34" t="s">
        <v>72</v>
      </c>
      <c r="D129" s="34" t="s">
        <v>230</v>
      </c>
      <c r="E129" s="34" t="s">
        <v>231</v>
      </c>
      <c r="AB129" t="str">
        <f t="shared" ca="1" si="0"/>
        <v/>
      </c>
    </row>
    <row r="130" spans="1:28" ht="18" hidden="1" x14ac:dyDescent="0.45">
      <c r="A130" s="35">
        <v>46133</v>
      </c>
      <c r="B130" s="34" t="s">
        <v>238</v>
      </c>
      <c r="C130" s="34" t="s">
        <v>60</v>
      </c>
      <c r="D130" s="34" t="s">
        <v>230</v>
      </c>
      <c r="E130" s="34" t="s">
        <v>231</v>
      </c>
      <c r="AB130" t="str">
        <f t="shared" ca="1" si="0"/>
        <v/>
      </c>
    </row>
    <row r="131" spans="1:28" ht="18" hidden="1" x14ac:dyDescent="0.45">
      <c r="A131" s="35">
        <v>46136</v>
      </c>
      <c r="B131" s="34" t="s">
        <v>235</v>
      </c>
      <c r="C131" s="34" t="s">
        <v>54</v>
      </c>
      <c r="D131" s="34" t="s">
        <v>230</v>
      </c>
      <c r="E131" s="34" t="s">
        <v>231</v>
      </c>
      <c r="AB131" t="str">
        <f t="shared" ca="1" si="0"/>
        <v/>
      </c>
    </row>
    <row r="132" spans="1:28" hidden="1" x14ac:dyDescent="0.25">
      <c r="AB132" t="str">
        <f t="shared" ref="AB132:AB160" ca="1" si="1">IF(AND(A132&lt;&gt;"",A132&gt;=TODAY()),A132,"")</f>
        <v/>
      </c>
    </row>
    <row r="133" spans="1:28" hidden="1" x14ac:dyDescent="0.25">
      <c r="AB133" t="str">
        <f t="shared" ca="1" si="1"/>
        <v/>
      </c>
    </row>
    <row r="134" spans="1:28" hidden="1" x14ac:dyDescent="0.25">
      <c r="AB134" t="str">
        <f t="shared" ca="1" si="1"/>
        <v/>
      </c>
    </row>
    <row r="135" spans="1:28" hidden="1" x14ac:dyDescent="0.25">
      <c r="AB135" t="str">
        <f t="shared" ca="1" si="1"/>
        <v/>
      </c>
    </row>
    <row r="136" spans="1:28" hidden="1" x14ac:dyDescent="0.25">
      <c r="AB136" t="str">
        <f t="shared" ca="1" si="1"/>
        <v/>
      </c>
    </row>
    <row r="137" spans="1:28" hidden="1" x14ac:dyDescent="0.25">
      <c r="AB137" t="str">
        <f t="shared" ca="1" si="1"/>
        <v/>
      </c>
    </row>
    <row r="138" spans="1:28" hidden="1" x14ac:dyDescent="0.25">
      <c r="AB138" t="str">
        <f t="shared" ca="1" si="1"/>
        <v/>
      </c>
    </row>
    <row r="139" spans="1:28" hidden="1" x14ac:dyDescent="0.25">
      <c r="AB139" t="str">
        <f t="shared" ca="1" si="1"/>
        <v/>
      </c>
    </row>
    <row r="140" spans="1:28" hidden="1" x14ac:dyDescent="0.25">
      <c r="AB140" t="str">
        <f t="shared" ca="1" si="1"/>
        <v/>
      </c>
    </row>
    <row r="141" spans="1:28" hidden="1" x14ac:dyDescent="0.25">
      <c r="AB141" t="str">
        <f t="shared" ca="1" si="1"/>
        <v/>
      </c>
    </row>
    <row r="142" spans="1:28" hidden="1" x14ac:dyDescent="0.25">
      <c r="AB142" t="str">
        <f t="shared" ca="1" si="1"/>
        <v/>
      </c>
    </row>
    <row r="143" spans="1:28" hidden="1" x14ac:dyDescent="0.25">
      <c r="AB143" t="str">
        <f t="shared" ca="1" si="1"/>
        <v/>
      </c>
    </row>
    <row r="144" spans="1:28" hidden="1" x14ac:dyDescent="0.25">
      <c r="AB144" t="str">
        <f t="shared" ca="1" si="1"/>
        <v/>
      </c>
    </row>
    <row r="145" spans="28:28" hidden="1" x14ac:dyDescent="0.25">
      <c r="AB145" t="str">
        <f t="shared" ca="1" si="1"/>
        <v/>
      </c>
    </row>
    <row r="146" spans="28:28" hidden="1" x14ac:dyDescent="0.25">
      <c r="AB146" t="str">
        <f t="shared" ca="1" si="1"/>
        <v/>
      </c>
    </row>
    <row r="147" spans="28:28" hidden="1" x14ac:dyDescent="0.25">
      <c r="AB147" t="str">
        <f t="shared" ca="1" si="1"/>
        <v/>
      </c>
    </row>
    <row r="148" spans="28:28" hidden="1" x14ac:dyDescent="0.25">
      <c r="AB148" t="str">
        <f t="shared" ca="1" si="1"/>
        <v/>
      </c>
    </row>
    <row r="149" spans="28:28" hidden="1" x14ac:dyDescent="0.25">
      <c r="AB149" t="str">
        <f t="shared" ca="1" si="1"/>
        <v/>
      </c>
    </row>
    <row r="150" spans="28:28" hidden="1" x14ac:dyDescent="0.25">
      <c r="AB150" t="str">
        <f t="shared" ca="1" si="1"/>
        <v/>
      </c>
    </row>
    <row r="151" spans="28:28" hidden="1" x14ac:dyDescent="0.25">
      <c r="AB151" t="str">
        <f t="shared" ca="1" si="1"/>
        <v/>
      </c>
    </row>
    <row r="152" spans="28:28" hidden="1" x14ac:dyDescent="0.25">
      <c r="AB152" t="str">
        <f t="shared" ca="1" si="1"/>
        <v/>
      </c>
    </row>
    <row r="153" spans="28:28" hidden="1" x14ac:dyDescent="0.25">
      <c r="AB153" t="str">
        <f t="shared" ca="1" si="1"/>
        <v/>
      </c>
    </row>
    <row r="154" spans="28:28" hidden="1" x14ac:dyDescent="0.25">
      <c r="AB154" t="str">
        <f t="shared" ca="1" si="1"/>
        <v/>
      </c>
    </row>
    <row r="155" spans="28:28" hidden="1" x14ac:dyDescent="0.25">
      <c r="AB155" t="str">
        <f t="shared" ca="1" si="1"/>
        <v/>
      </c>
    </row>
    <row r="156" spans="28:28" hidden="1" x14ac:dyDescent="0.25">
      <c r="AB156" t="str">
        <f t="shared" ca="1" si="1"/>
        <v/>
      </c>
    </row>
    <row r="157" spans="28:28" hidden="1" x14ac:dyDescent="0.25">
      <c r="AB157" t="str">
        <f t="shared" ca="1" si="1"/>
        <v/>
      </c>
    </row>
    <row r="158" spans="28:28" hidden="1" x14ac:dyDescent="0.25">
      <c r="AB158" t="str">
        <f t="shared" ca="1" si="1"/>
        <v/>
      </c>
    </row>
    <row r="159" spans="28:28" hidden="1" x14ac:dyDescent="0.25">
      <c r="AB159" t="str">
        <f t="shared" ca="1" si="1"/>
        <v/>
      </c>
    </row>
    <row r="160" spans="28:28" hidden="1" x14ac:dyDescent="0.25">
      <c r="AB160" t="str">
        <f t="shared" ca="1" si="1"/>
        <v/>
      </c>
    </row>
  </sheetData>
  <mergeCells count="4">
    <mergeCell ref="B2:F2"/>
    <mergeCell ref="J4:K4"/>
    <mergeCell ref="B3:F3"/>
    <mergeCell ref="J10:K10"/>
  </mergeCells>
  <conditionalFormatting sqref="C6:H21">
    <cfRule type="expression" dxfId="8" priority="1">
      <formula>ISNUMBER(SEARCH("Cancelado",C6))</formula>
    </cfRule>
    <cfRule type="expression" dxfId="7" priority="2">
      <formula>ISNUMBER(SEARCH("Faltou",C6))</formula>
    </cfRule>
    <cfRule type="expression" dxfId="6" priority="3">
      <formula>ISNUMBER(SEARCH("Confirmado",C6))</formula>
    </cfRule>
    <cfRule type="expression" dxfId="5" priority="4">
      <formula>ISNUMBER(SEARCH("Realizado",C6))</formula>
    </cfRule>
  </conditionalFormatting>
  <pageMargins left="0.4" right="0.4" top="0.5" bottom="0.5" header="0.2" footer="0.2"/>
  <pageSetup fitToHeight="0" orientation="landscape"/>
  <headerFooter>
    <oddFooter>&amp;L&amp;8 &amp;K3B3B3BPsi Planner 2&amp;C&amp;8 &amp;K3B3B3BClínica Vita&amp;R&amp;8 &amp;K3B3B3B&amp;P / 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3B3B3B"/>
    <pageSetUpPr fitToPage="1"/>
  </sheetPr>
  <dimension ref="B1:AP56"/>
  <sheetViews>
    <sheetView showGridLines="0" showRowColHeaders="0" workbookViewId="0">
      <pane xSplit="1" ySplit="6" topLeftCell="B7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3" customWidth="1"/>
    <col min="2" max="2" width="28" customWidth="1"/>
    <col min="3" max="3" width="16" customWidth="1"/>
    <col min="4" max="4" width="8" customWidth="1"/>
    <col min="5" max="5" width="16" customWidth="1"/>
    <col min="6" max="6" width="18" customWidth="1"/>
    <col min="7" max="7" width="16" customWidth="1"/>
    <col min="8" max="8" width="20" customWidth="1"/>
    <col min="9" max="9" width="4" customWidth="1"/>
    <col min="10" max="10" width="26" customWidth="1"/>
    <col min="11" max="11" width="16" customWidth="1"/>
    <col min="28" max="42" width="13" hidden="1" customWidth="1"/>
  </cols>
  <sheetData>
    <row r="1" spans="2:29" ht="18" customHeight="1" x14ac:dyDescent="0.25">
      <c r="AB1" t="s">
        <v>12</v>
      </c>
      <c r="AC1" t="s">
        <v>242</v>
      </c>
    </row>
    <row r="2" spans="2:29" ht="39.950000000000003" customHeight="1" x14ac:dyDescent="0.25">
      <c r="B2" s="54" t="s">
        <v>243</v>
      </c>
      <c r="C2" s="46"/>
      <c r="D2" s="46"/>
      <c r="E2" s="46"/>
      <c r="F2" s="46"/>
      <c r="AB2" t="s">
        <v>20</v>
      </c>
      <c r="AC2">
        <f>SUMPRODUCT((ANIV_Nasc&lt;&gt;"")*(MONTH(ANIV_Nasc)=1))</f>
        <v>0</v>
      </c>
    </row>
    <row r="3" spans="2:29" ht="14.1" customHeight="1" x14ac:dyDescent="0.25">
      <c r="B3" s="48" t="s">
        <v>244</v>
      </c>
      <c r="C3" s="46"/>
      <c r="D3" s="46"/>
      <c r="E3" s="46"/>
      <c r="F3" s="46"/>
      <c r="AB3" t="s">
        <v>24</v>
      </c>
      <c r="AC3">
        <f>SUMPRODUCT((ANIV_Nasc&lt;&gt;"")*(MONTH(ANIV_Nasc)=2))</f>
        <v>0</v>
      </c>
    </row>
    <row r="4" spans="2:29" ht="21.95" customHeight="1" x14ac:dyDescent="0.25">
      <c r="J4" s="55" t="s">
        <v>245</v>
      </c>
      <c r="K4" s="46"/>
      <c r="AB4" t="s">
        <v>30</v>
      </c>
      <c r="AC4">
        <f>SUMPRODUCT((ANIV_Nasc&lt;&gt;"")*(MONTH(ANIV_Nasc)=3))</f>
        <v>1</v>
      </c>
    </row>
    <row r="5" spans="2:29" ht="14.1" customHeight="1" x14ac:dyDescent="0.25">
      <c r="J5" s="22" t="s">
        <v>9</v>
      </c>
      <c r="K5" s="36">
        <f ca="1">SUMPRODUCT((ANIV_Nasc&lt;&gt;"")*(MONTH(ANIV_Nasc)=MONTH(TODAY())))</f>
        <v>3</v>
      </c>
      <c r="AB5" t="s">
        <v>32</v>
      </c>
      <c r="AC5">
        <f>SUMPRODUCT((ANIV_Nasc&lt;&gt;"")*(MONTH(ANIV_Nasc)=4))</f>
        <v>0</v>
      </c>
    </row>
    <row r="6" spans="2:29" ht="27.95" customHeight="1" x14ac:dyDescent="0.25">
      <c r="B6" s="11" t="s">
        <v>114</v>
      </c>
      <c r="C6" s="10" t="s">
        <v>117</v>
      </c>
      <c r="D6" s="10" t="s">
        <v>118</v>
      </c>
      <c r="E6" s="10" t="s">
        <v>246</v>
      </c>
      <c r="F6" s="10" t="s">
        <v>119</v>
      </c>
      <c r="G6" s="10" t="s">
        <v>37</v>
      </c>
      <c r="H6" s="10" t="s">
        <v>247</v>
      </c>
      <c r="AB6" t="s">
        <v>42</v>
      </c>
      <c r="AC6">
        <f>SUMPRODUCT((ANIV_Nasc&lt;&gt;"")*(MONTH(ANIV_Nasc)=5))</f>
        <v>3</v>
      </c>
    </row>
    <row r="7" spans="2:29" ht="20.100000000000001" customHeight="1" x14ac:dyDescent="0.25">
      <c r="B7" s="16" t="s">
        <v>54</v>
      </c>
      <c r="C7" s="15">
        <v>32942</v>
      </c>
      <c r="D7" s="17">
        <f t="shared" ref="D7:D14" ca="1" si="0">IF(C7="","",DATEDIF(C7,TODAY(),"Y"))</f>
        <v>36</v>
      </c>
      <c r="E7" s="17" t="str">
        <f t="shared" ref="E7:E14" si="1">IF(C7="","",TEXT(C7,"dd/mm"))</f>
        <v>10/03</v>
      </c>
      <c r="F7" s="17" t="s">
        <v>133</v>
      </c>
      <c r="G7" s="17" t="s">
        <v>139</v>
      </c>
      <c r="H7" s="17" t="s">
        <v>248</v>
      </c>
      <c r="AB7" t="s">
        <v>49</v>
      </c>
      <c r="AC7">
        <f>SUMPRODUCT((ANIV_Nasc&lt;&gt;"")*(MONTH(ANIV_Nasc)=6))</f>
        <v>2</v>
      </c>
    </row>
    <row r="8" spans="2:29" ht="20.100000000000001" customHeight="1" x14ac:dyDescent="0.25">
      <c r="B8" s="16" t="s">
        <v>50</v>
      </c>
      <c r="C8" s="15">
        <v>32278</v>
      </c>
      <c r="D8" s="17">
        <f t="shared" ca="1" si="0"/>
        <v>38</v>
      </c>
      <c r="E8" s="17" t="str">
        <f t="shared" si="1"/>
        <v>15/05</v>
      </c>
      <c r="F8" s="17" t="s">
        <v>142</v>
      </c>
      <c r="G8" s="17" t="s">
        <v>139</v>
      </c>
      <c r="H8" s="17" t="s">
        <v>249</v>
      </c>
      <c r="AB8" t="s">
        <v>53</v>
      </c>
      <c r="AC8">
        <f>SUMPRODUCT((ANIV_Nasc&lt;&gt;"")*(MONTH(ANIV_Nasc)=7))</f>
        <v>1</v>
      </c>
    </row>
    <row r="9" spans="2:29" ht="20.100000000000001" customHeight="1" x14ac:dyDescent="0.25">
      <c r="B9" s="16" t="s">
        <v>72</v>
      </c>
      <c r="C9" s="15">
        <v>33752</v>
      </c>
      <c r="D9" s="17">
        <f t="shared" ca="1" si="0"/>
        <v>34</v>
      </c>
      <c r="E9" s="17" t="str">
        <f t="shared" si="1"/>
        <v>28/05</v>
      </c>
      <c r="F9" s="17" t="s">
        <v>149</v>
      </c>
      <c r="G9" s="17" t="s">
        <v>139</v>
      </c>
      <c r="H9" s="17" t="s">
        <v>248</v>
      </c>
      <c r="AB9" t="s">
        <v>59</v>
      </c>
      <c r="AC9">
        <f>SUMPRODUCT((ANIV_Nasc&lt;&gt;"")*(MONTH(ANIV_Nasc)=8))</f>
        <v>0</v>
      </c>
    </row>
    <row r="10" spans="2:29" ht="20.100000000000001" customHeight="1" x14ac:dyDescent="0.25">
      <c r="B10" s="16" t="s">
        <v>81</v>
      </c>
      <c r="C10" s="15">
        <v>34888</v>
      </c>
      <c r="D10" s="17">
        <f t="shared" ca="1" si="0"/>
        <v>30</v>
      </c>
      <c r="E10" s="17" t="str">
        <f t="shared" si="1"/>
        <v>08/07</v>
      </c>
      <c r="F10" s="17" t="s">
        <v>156</v>
      </c>
      <c r="G10" s="17" t="s">
        <v>160</v>
      </c>
      <c r="H10" s="17" t="s">
        <v>249</v>
      </c>
      <c r="AB10" t="s">
        <v>63</v>
      </c>
      <c r="AC10">
        <f>SUMPRODUCT((ANIV_Nasc&lt;&gt;"")*(MONTH(ANIV_Nasc)=9))</f>
        <v>1</v>
      </c>
    </row>
    <row r="11" spans="2:29" ht="20.100000000000001" customHeight="1" x14ac:dyDescent="0.25">
      <c r="B11" s="16" t="s">
        <v>44</v>
      </c>
      <c r="C11" s="15">
        <v>33388</v>
      </c>
      <c r="D11" s="17">
        <f t="shared" ca="1" si="0"/>
        <v>34</v>
      </c>
      <c r="E11" s="17" t="str">
        <f t="shared" si="1"/>
        <v>30/05</v>
      </c>
      <c r="F11" s="17" t="s">
        <v>163</v>
      </c>
      <c r="G11" s="17" t="s">
        <v>139</v>
      </c>
      <c r="H11" s="17" t="s">
        <v>249</v>
      </c>
      <c r="AB11" t="s">
        <v>66</v>
      </c>
      <c r="AC11">
        <f>SUMPRODUCT((ANIV_Nasc&lt;&gt;"")*(MONTH(ANIV_Nasc)=10))</f>
        <v>0</v>
      </c>
    </row>
    <row r="12" spans="2:29" ht="20.100000000000001" customHeight="1" x14ac:dyDescent="0.25">
      <c r="B12" s="16" t="s">
        <v>60</v>
      </c>
      <c r="C12" s="15">
        <v>32671</v>
      </c>
      <c r="D12" s="17">
        <f t="shared" ca="1" si="0"/>
        <v>36</v>
      </c>
      <c r="E12" s="17" t="str">
        <f t="shared" si="1"/>
        <v>12/06</v>
      </c>
      <c r="F12" s="17" t="s">
        <v>170</v>
      </c>
      <c r="G12" s="17" t="s">
        <v>139</v>
      </c>
      <c r="H12" s="17" t="s">
        <v>249</v>
      </c>
      <c r="AB12" t="s">
        <v>69</v>
      </c>
      <c r="AC12">
        <f>SUMPRODUCT((ANIV_Nasc&lt;&gt;"")*(MONTH(ANIV_Nasc)=11))</f>
        <v>0</v>
      </c>
    </row>
    <row r="13" spans="2:29" ht="20.100000000000001" customHeight="1" x14ac:dyDescent="0.25">
      <c r="B13" s="16" t="s">
        <v>91</v>
      </c>
      <c r="C13" s="15">
        <v>34602</v>
      </c>
      <c r="D13" s="17">
        <f t="shared" ca="1" si="0"/>
        <v>31</v>
      </c>
      <c r="E13" s="17" t="str">
        <f t="shared" si="1"/>
        <v>25/09</v>
      </c>
      <c r="F13" s="17" t="s">
        <v>176</v>
      </c>
      <c r="G13" s="17" t="s">
        <v>139</v>
      </c>
      <c r="H13" s="17" t="s">
        <v>249</v>
      </c>
      <c r="AB13" t="s">
        <v>71</v>
      </c>
      <c r="AC13">
        <f>SUMPRODUCT((ANIV_Nasc&lt;&gt;"")*(MONTH(ANIV_Nasc)=12))</f>
        <v>0</v>
      </c>
    </row>
    <row r="14" spans="2:29" ht="20.100000000000001" customHeight="1" x14ac:dyDescent="0.25">
      <c r="B14" s="16" t="s">
        <v>88</v>
      </c>
      <c r="C14" s="15">
        <v>31566</v>
      </c>
      <c r="D14" s="17">
        <f t="shared" ca="1" si="0"/>
        <v>39</v>
      </c>
      <c r="E14" s="17" t="str">
        <f t="shared" si="1"/>
        <v>03/06</v>
      </c>
      <c r="F14" s="17" t="s">
        <v>183</v>
      </c>
      <c r="G14" s="17" t="s">
        <v>139</v>
      </c>
      <c r="H14" s="17" t="s">
        <v>249</v>
      </c>
    </row>
    <row r="15" spans="2:29" ht="20.100000000000001" customHeight="1" x14ac:dyDescent="0.25"/>
    <row r="16" spans="2:29" ht="20.100000000000001" customHeight="1" x14ac:dyDescent="0.25"/>
    <row r="17" ht="20.100000000000001" customHeight="1" x14ac:dyDescent="0.25"/>
    <row r="18" ht="20.100000000000001" customHeight="1" x14ac:dyDescent="0.25"/>
    <row r="19" ht="20.100000000000001" customHeight="1" x14ac:dyDescent="0.25"/>
    <row r="20" ht="20.100000000000001" customHeight="1" x14ac:dyDescent="0.25"/>
    <row r="21" ht="20.100000000000001" customHeight="1" x14ac:dyDescent="0.25"/>
    <row r="22" ht="20.100000000000001" customHeight="1" x14ac:dyDescent="0.25"/>
    <row r="23" ht="20.100000000000001" customHeight="1" x14ac:dyDescent="0.25"/>
    <row r="24" ht="20.100000000000001" customHeight="1" x14ac:dyDescent="0.25"/>
    <row r="25" ht="20.100000000000001" customHeight="1" x14ac:dyDescent="0.25"/>
    <row r="26" ht="20.100000000000001" customHeight="1" x14ac:dyDescent="0.25"/>
    <row r="27" ht="20.100000000000001" customHeight="1" x14ac:dyDescent="0.25"/>
    <row r="28" ht="20.100000000000001" customHeight="1" x14ac:dyDescent="0.25"/>
    <row r="29" ht="20.100000000000001" customHeight="1" x14ac:dyDescent="0.25"/>
    <row r="30" ht="20.100000000000001" customHeight="1" x14ac:dyDescent="0.25"/>
    <row r="31" ht="20.100000000000001" customHeight="1" x14ac:dyDescent="0.25"/>
    <row r="32" ht="20.100000000000001" customHeight="1" x14ac:dyDescent="0.25"/>
    <row r="33" ht="20.100000000000001" customHeight="1" x14ac:dyDescent="0.25"/>
    <row r="34" ht="20.100000000000001" customHeight="1" x14ac:dyDescent="0.25"/>
    <row r="35" ht="20.100000000000001" customHeight="1" x14ac:dyDescent="0.25"/>
    <row r="36" ht="20.100000000000001" customHeight="1" x14ac:dyDescent="0.25"/>
    <row r="37" ht="20.100000000000001" customHeight="1" x14ac:dyDescent="0.25"/>
    <row r="38" ht="20.100000000000001" customHeight="1" x14ac:dyDescent="0.25"/>
    <row r="39" ht="20.100000000000001" customHeight="1" x14ac:dyDescent="0.25"/>
    <row r="40" ht="20.100000000000001" customHeight="1" x14ac:dyDescent="0.25"/>
    <row r="41" ht="20.100000000000001" customHeight="1" x14ac:dyDescent="0.25"/>
    <row r="42" ht="20.100000000000001" customHeight="1" x14ac:dyDescent="0.25"/>
    <row r="43" ht="20.100000000000001" customHeight="1" x14ac:dyDescent="0.25"/>
    <row r="44" ht="20.100000000000001" customHeight="1" x14ac:dyDescent="0.25"/>
    <row r="45" ht="20.100000000000001" customHeight="1" x14ac:dyDescent="0.25"/>
    <row r="46" ht="20.100000000000001" customHeight="1" x14ac:dyDescent="0.25"/>
    <row r="47" ht="20.100000000000001" customHeight="1" x14ac:dyDescent="0.25"/>
    <row r="48" ht="20.100000000000001" customHeight="1" x14ac:dyDescent="0.25"/>
    <row r="49" ht="20.100000000000001" customHeight="1" x14ac:dyDescent="0.25"/>
    <row r="50" ht="20.100000000000001" customHeight="1" x14ac:dyDescent="0.25"/>
    <row r="51" ht="20.100000000000001" customHeight="1" x14ac:dyDescent="0.25"/>
    <row r="52" ht="20.100000000000001" customHeight="1" x14ac:dyDescent="0.25"/>
    <row r="53" ht="20.100000000000001" customHeight="1" x14ac:dyDescent="0.25"/>
    <row r="54" ht="20.100000000000001" customHeight="1" x14ac:dyDescent="0.25"/>
    <row r="55" ht="20.100000000000001" customHeight="1" x14ac:dyDescent="0.25"/>
    <row r="56" ht="20.100000000000001" customHeight="1" x14ac:dyDescent="0.25"/>
  </sheetData>
  <mergeCells count="3">
    <mergeCell ref="B2:F2"/>
    <mergeCell ref="J4:K4"/>
    <mergeCell ref="B3:F3"/>
  </mergeCells>
  <conditionalFormatting sqref="B7:B56">
    <cfRule type="expression" dxfId="4" priority="1">
      <formula>AND($C7&lt;&gt;"",TEXT($C7,"MM-DD")&gt;=TEXT(TODAY(),"MM-DD"),TEXT($C7,"MM-DD")&lt;=TEXT(TODAY()+7,"MM-DD"))</formula>
    </cfRule>
  </conditionalFormatting>
  <conditionalFormatting sqref="H7:H56">
    <cfRule type="expression" dxfId="3" priority="2">
      <formula>ISNUMBER(SEARCH("Sim",H7))</formula>
    </cfRule>
    <cfRule type="expression" dxfId="2" priority="3">
      <formula>ISNUMBER(SEARCH("Não",H7))</formula>
    </cfRule>
  </conditionalFormatting>
  <dataValidations count="2">
    <dataValidation type="list" allowBlank="1" sqref="G7:G56" xr:uid="{00000000-0002-0000-0400-000000000000}">
      <formula1>"Ativo,Pausado,Alta,Inativo"</formula1>
    </dataValidation>
    <dataValidation type="list" allowBlank="1" sqref="H7:H56" xr:uid="{00000000-0002-0000-0400-000001000000}">
      <formula1>"Sim,Não"</formula1>
    </dataValidation>
  </dataValidations>
  <pageMargins left="0.4" right="0.4" top="0.5" bottom="0.5" header="0.2" footer="0.2"/>
  <pageSetup fitToHeight="0" orientation="landscape"/>
  <headerFooter>
    <oddFooter>&amp;L&amp;8 &amp;K3B3B3BPsi Planner 2&amp;C&amp;8 &amp;K3B3B3BClínica Vita&amp;R&amp;8 &amp;K3B3B3B&amp;P / 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3B3B3B"/>
    <pageSetUpPr fitToPage="1"/>
  </sheetPr>
  <dimension ref="B1:AP14"/>
  <sheetViews>
    <sheetView showGridLines="0" showRowColHeaders="0" workbookViewId="0"/>
  </sheetViews>
  <sheetFormatPr defaultRowHeight="15" x14ac:dyDescent="0.25"/>
  <cols>
    <col min="1" max="1" width="3" customWidth="1"/>
    <col min="2" max="2" width="26" customWidth="1"/>
    <col min="3" max="3" width="18" customWidth="1"/>
    <col min="4" max="4" width="4" customWidth="1"/>
    <col min="5" max="5" width="26" customWidth="1"/>
    <col min="6" max="6" width="18" customWidth="1"/>
    <col min="7" max="7" width="4" customWidth="1"/>
    <col min="8" max="8" width="26" customWidth="1"/>
    <col min="9" max="9" width="18" customWidth="1"/>
    <col min="10" max="10" width="3" customWidth="1"/>
    <col min="28" max="42" width="13" hidden="1" customWidth="1"/>
  </cols>
  <sheetData>
    <row r="1" spans="2:35" ht="18" customHeight="1" x14ac:dyDescent="0.25">
      <c r="AB1" t="s">
        <v>12</v>
      </c>
      <c r="AC1" t="s">
        <v>13</v>
      </c>
      <c r="AE1" t="s">
        <v>12</v>
      </c>
      <c r="AF1" t="s">
        <v>250</v>
      </c>
      <c r="AH1" t="s">
        <v>33</v>
      </c>
      <c r="AI1" t="s">
        <v>15</v>
      </c>
    </row>
    <row r="2" spans="2:35" ht="39.950000000000003" customHeight="1" x14ac:dyDescent="0.25">
      <c r="B2" s="54" t="s">
        <v>251</v>
      </c>
      <c r="C2" s="46"/>
      <c r="D2" s="46"/>
      <c r="E2" s="46"/>
      <c r="F2" s="46"/>
      <c r="AB2" t="s">
        <v>20</v>
      </c>
      <c r="AC2">
        <f ca="1">SUMIFS(FIN_Valor,FIN_Status,"Pago",FIN_Data,"&gt;="&amp;DATE(YEAR(TODAY()),1,1),FIN_Data,"&lt;="&amp;EOMONTH(DATE(YEAR(TODAY()),1,1),0))</f>
        <v>720</v>
      </c>
      <c r="AE2" t="s">
        <v>20</v>
      </c>
      <c r="AF2">
        <f>SUMPRODUCT((MONTH(CAL_LogData)=1)*(CAL_LogData&lt;&gt;""))</f>
        <v>6</v>
      </c>
      <c r="AH2" t="s">
        <v>136</v>
      </c>
      <c r="AI2">
        <f>SUMIFS(FIN_Valor,FIN_Paciente,"*")*0+SUMPRODUCT((PAC_Convenio="Particular")*PAC_ValorSessao)</f>
        <v>860</v>
      </c>
    </row>
    <row r="3" spans="2:35" ht="14.1" customHeight="1" x14ac:dyDescent="0.25">
      <c r="B3" s="48" t="s">
        <v>252</v>
      </c>
      <c r="C3" s="46"/>
      <c r="D3" s="46"/>
      <c r="E3" s="46"/>
      <c r="F3" s="46"/>
      <c r="AB3" t="s">
        <v>24</v>
      </c>
      <c r="AC3">
        <f ca="1">SUMIFS(FIN_Valor,FIN_Status,"Pago",FIN_Data,"&gt;="&amp;DATE(YEAR(TODAY()),2,1),FIN_Data,"&lt;="&amp;EOMONTH(DATE(YEAR(TODAY()),2,1),0))</f>
        <v>690</v>
      </c>
      <c r="AE3" t="s">
        <v>24</v>
      </c>
      <c r="AF3">
        <f>SUMPRODUCT((MONTH(CAL_LogData)=2)*(CAL_LogData&lt;&gt;""))</f>
        <v>6</v>
      </c>
      <c r="AH3" t="s">
        <v>145</v>
      </c>
      <c r="AI3">
        <f>SUMIFS(FIN_Valor,FIN_Paciente,"*")*0+SUMPRODUCT((PAC_Convenio="Unimed")*PAC_ValorSessao)</f>
        <v>180</v>
      </c>
    </row>
    <row r="4" spans="2:35" ht="14.1" customHeight="1" x14ac:dyDescent="0.25">
      <c r="AB4" t="s">
        <v>30</v>
      </c>
      <c r="AC4">
        <f ca="1">SUMIFS(FIN_Valor,FIN_Status,"Pago",FIN_Data,"&gt;="&amp;DATE(YEAR(TODAY()),3,1),FIN_Data,"&lt;="&amp;EOMONTH(DATE(YEAR(TODAY()),3,1),0))</f>
        <v>690</v>
      </c>
      <c r="AE4" t="s">
        <v>30</v>
      </c>
      <c r="AF4">
        <f>SUMPRODUCT((MONTH(CAL_LogData)=3)*(CAL_LogData&lt;&gt;""))</f>
        <v>6</v>
      </c>
      <c r="AH4" t="s">
        <v>166</v>
      </c>
      <c r="AI4">
        <f>SUMIFS(FIN_Valor,FIN_Paciente,"*")*0+SUMPRODUCT((PAC_Convenio="Bradesco")*PAC_ValorSessao)</f>
        <v>180</v>
      </c>
    </row>
    <row r="5" spans="2:35" ht="21.95" customHeight="1" x14ac:dyDescent="0.25">
      <c r="B5" s="7" t="s">
        <v>29</v>
      </c>
      <c r="AB5" t="s">
        <v>32</v>
      </c>
      <c r="AC5">
        <f ca="1">SUMIFS(FIN_Valor,FIN_Status,"Pago",FIN_Data,"&gt;="&amp;DATE(YEAR(TODAY()),4,1),FIN_Data,"&lt;="&amp;EOMONTH(DATE(YEAR(TODAY()),4,1),0))</f>
        <v>690</v>
      </c>
      <c r="AE5" t="s">
        <v>32</v>
      </c>
      <c r="AF5">
        <f>SUMPRODUCT((MONTH(CAL_LogData)=4)*(CAL_LogData&lt;&gt;""))</f>
        <v>6</v>
      </c>
      <c r="AH5" t="s">
        <v>179</v>
      </c>
      <c r="AI5">
        <f>SUMIFS(FIN_Valor,FIN_Paciente,"*")*0+SUMPRODUCT((PAC_Convenio="SulAmérica")*PAC_ValorSessao)</f>
        <v>180</v>
      </c>
    </row>
    <row r="6" spans="2:35" ht="24" customHeight="1" x14ac:dyDescent="0.25">
      <c r="B6" s="22" t="s">
        <v>253</v>
      </c>
      <c r="C6" s="23">
        <f ca="1">'Menu Inicial'!C7</f>
        <v>870</v>
      </c>
      <c r="E6" s="22" t="s">
        <v>254</v>
      </c>
      <c r="F6" s="26">
        <f>COUNTIF(PAC_Status,"Ativo")</f>
        <v>7</v>
      </c>
      <c r="H6" s="22" t="s">
        <v>255</v>
      </c>
      <c r="I6" s="23">
        <f>SUMIF(FIN_Forma,"Convênio",FIN_Valor)</f>
        <v>150</v>
      </c>
      <c r="AB6" t="s">
        <v>42</v>
      </c>
      <c r="AC6">
        <f ca="1">SUMIFS(FIN_Valor,FIN_Status,"Pago",FIN_Data,"&gt;="&amp;DATE(YEAR(TODAY()),5,1),FIN_Data,"&lt;="&amp;EOMONTH(DATE(YEAR(TODAY()),5,1),0))</f>
        <v>870</v>
      </c>
      <c r="AE6" t="s">
        <v>42</v>
      </c>
      <c r="AF6">
        <f>SUMPRODUCT((MONTH(CAL_LogData)=5)*(CAL_LogData&lt;&gt;""))</f>
        <v>8</v>
      </c>
      <c r="AH6" t="s">
        <v>109</v>
      </c>
      <c r="AI6">
        <f>SUMIF(FIN_Forma,"Convênio",FIN_Valor)</f>
        <v>150</v>
      </c>
    </row>
    <row r="7" spans="2:35" ht="24" customHeight="1" x14ac:dyDescent="0.25">
      <c r="B7" s="22" t="s">
        <v>256</v>
      </c>
      <c r="C7" s="23">
        <f ca="1">MEI_Faturamento</f>
        <v>3660</v>
      </c>
      <c r="E7" s="22" t="s">
        <v>199</v>
      </c>
      <c r="F7" s="37">
        <f>CAL_TaxaCancelamento</f>
        <v>3.125E-2</v>
      </c>
      <c r="H7" s="22" t="s">
        <v>257</v>
      </c>
      <c r="I7" s="37">
        <f ca="1">IFERROR((SUMIFS(FIN_Valor,FIN_Status,"Pago",FIN_Data,"&gt;="&amp;DATE(YEAR(TODAY()),MONTH(TODAY()),1),FIN_Data,"&lt;="&amp;EOMONTH(TODAY(),0))-SUMIFS(FIN_Valor,FIN_Status,"Pago",FIN_Data,"&gt;="&amp;DATE(YEAR(TODAY()),MONTH(TODAY())-1,1),FIN_Data,"&lt;="&amp;EOMONTH(TODAY(),-1)))/SUMIFS(FIN_Valor,FIN_Status,"Pago",FIN_Data,"&gt;="&amp;DATE(YEAR(TODAY()),MONTH(TODAY())-1,1),FIN_Data,"&lt;="&amp;EOMONTH(TODAY(),-1)),0)</f>
        <v>0.2608695652173913</v>
      </c>
      <c r="AB7" t="s">
        <v>49</v>
      </c>
      <c r="AC7">
        <f ca="1">SUMIFS(FIN_Valor,FIN_Status,"Pago",FIN_Data,"&gt;="&amp;DATE(YEAR(TODAY()),6,1),FIN_Data,"&lt;="&amp;EOMONTH(DATE(YEAR(TODAY()),6,1),0))</f>
        <v>0</v>
      </c>
      <c r="AE7" t="s">
        <v>49</v>
      </c>
      <c r="AF7">
        <f>SUMPRODUCT((MONTH(CAL_LogData)=6)*(CAL_LogData&lt;&gt;""))</f>
        <v>0</v>
      </c>
    </row>
    <row r="8" spans="2:35" ht="24" customHeight="1" x14ac:dyDescent="0.25">
      <c r="B8" s="22" t="s">
        <v>258</v>
      </c>
      <c r="C8" s="26">
        <f>COUNTA(CAL_LogStatus)</f>
        <v>32</v>
      </c>
      <c r="E8" s="22" t="s">
        <v>259</v>
      </c>
      <c r="F8" s="38">
        <f>FIN_Inadimplencia</f>
        <v>8.7281795511221949E-2</v>
      </c>
      <c r="AB8" t="s">
        <v>53</v>
      </c>
      <c r="AC8">
        <f ca="1">SUMIFS(FIN_Valor,FIN_Status,"Pago",FIN_Data,"&gt;="&amp;DATE(YEAR(TODAY()),7,1),FIN_Data,"&lt;="&amp;EOMONTH(DATE(YEAR(TODAY()),7,1),0))</f>
        <v>0</v>
      </c>
    </row>
    <row r="9" spans="2:35" ht="24" customHeight="1" x14ac:dyDescent="0.25">
      <c r="AB9" t="s">
        <v>59</v>
      </c>
      <c r="AC9">
        <f ca="1">SUMIFS(FIN_Valor,FIN_Status,"Pago",FIN_Data,"&gt;="&amp;DATE(YEAR(TODAY()),8,1),FIN_Data,"&lt;="&amp;EOMONTH(DATE(YEAR(TODAY()),8,1),0))</f>
        <v>0</v>
      </c>
    </row>
    <row r="10" spans="2:35" ht="24" customHeight="1" x14ac:dyDescent="0.25">
      <c r="AB10" t="s">
        <v>63</v>
      </c>
      <c r="AC10">
        <f ca="1">SUMIFS(FIN_Valor,FIN_Status,"Pago",FIN_Data,"&gt;="&amp;DATE(YEAR(TODAY()),9,1),FIN_Data,"&lt;="&amp;EOMONTH(DATE(YEAR(TODAY()),9,1),0))</f>
        <v>0</v>
      </c>
    </row>
    <row r="11" spans="2:35" ht="24" customHeight="1" x14ac:dyDescent="0.25">
      <c r="AB11" t="s">
        <v>66</v>
      </c>
      <c r="AC11">
        <f ca="1">SUMIFS(FIN_Valor,FIN_Status,"Pago",FIN_Data,"&gt;="&amp;DATE(YEAR(TODAY()),10,1),FIN_Data,"&lt;="&amp;EOMONTH(DATE(YEAR(TODAY()),10,1),0))</f>
        <v>0</v>
      </c>
    </row>
    <row r="12" spans="2:35" ht="24" customHeight="1" x14ac:dyDescent="0.25">
      <c r="AB12" t="s">
        <v>69</v>
      </c>
      <c r="AC12">
        <f ca="1">SUMIFS(FIN_Valor,FIN_Status,"Pago",FIN_Data,"&gt;="&amp;DATE(YEAR(TODAY()),11,1),FIN_Data,"&lt;="&amp;EOMONTH(DATE(YEAR(TODAY()),11,1),0))</f>
        <v>0</v>
      </c>
    </row>
    <row r="13" spans="2:35" ht="24" customHeight="1" x14ac:dyDescent="0.25">
      <c r="AB13" t="s">
        <v>71</v>
      </c>
      <c r="AC13">
        <f ca="1">SUMIFS(FIN_Valor,FIN_Status,"Pago",FIN_Data,"&gt;="&amp;DATE(YEAR(TODAY()),12,1),FIN_Data,"&lt;="&amp;EOMONTH(DATE(YEAR(TODAY()),12,1),0))</f>
        <v>0</v>
      </c>
    </row>
    <row r="14" spans="2:35" ht="23.25" x14ac:dyDescent="0.25">
      <c r="B14" s="7" t="s">
        <v>111</v>
      </c>
    </row>
  </sheetData>
  <mergeCells count="2">
    <mergeCell ref="B2:F2"/>
    <mergeCell ref="B3:F3"/>
  </mergeCells>
  <conditionalFormatting sqref="F8">
    <cfRule type="expression" dxfId="1" priority="1">
      <formula>F8&gt;0.15</formula>
    </cfRule>
  </conditionalFormatting>
  <conditionalFormatting sqref="F7">
    <cfRule type="expression" dxfId="0" priority="2">
      <formula>F7&gt;0.1</formula>
    </cfRule>
  </conditionalFormatting>
  <pageMargins left="0.4" right="0.4" top="0.5" bottom="0.5" header="0.2" footer="0.2"/>
  <pageSetup fitToHeight="0" orientation="landscape"/>
  <headerFooter>
    <oddFooter>&amp;L&amp;8 &amp;K3B3B3BPsi Planner 2&amp;C&amp;8 &amp;K3B3B3BClínica Vita&amp;R&amp;8 &amp;K3B3B3B&amp;P / &amp;N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3B3B3B"/>
    <pageSetUpPr fitToPage="1"/>
  </sheetPr>
  <dimension ref="B1:C15"/>
  <sheetViews>
    <sheetView showGridLines="0" showRowColHeaders="0" workbookViewId="0"/>
  </sheetViews>
  <sheetFormatPr defaultRowHeight="15" x14ac:dyDescent="0.25"/>
  <cols>
    <col min="1" max="1" width="3" customWidth="1"/>
    <col min="2" max="2" width="28" customWidth="1"/>
    <col min="3" max="3" width="32" customWidth="1"/>
    <col min="4" max="4" width="3" customWidth="1"/>
  </cols>
  <sheetData>
    <row r="1" spans="2:3" ht="18" customHeight="1" x14ac:dyDescent="0.25"/>
    <row r="2" spans="2:3" ht="39.950000000000003" customHeight="1" x14ac:dyDescent="0.25">
      <c r="B2" s="54" t="s">
        <v>260</v>
      </c>
      <c r="C2" s="46"/>
    </row>
    <row r="3" spans="2:3" ht="14.1" customHeight="1" x14ac:dyDescent="0.25">
      <c r="B3" s="48" t="s">
        <v>261</v>
      </c>
      <c r="C3" s="46"/>
    </row>
    <row r="4" spans="2:3" ht="14.1" customHeight="1" x14ac:dyDescent="0.25"/>
    <row r="5" spans="2:3" ht="21.95" customHeight="1" x14ac:dyDescent="0.25">
      <c r="B5" s="7" t="s">
        <v>262</v>
      </c>
    </row>
    <row r="6" spans="2:3" ht="24" customHeight="1" x14ac:dyDescent="0.25">
      <c r="B6" s="39" t="s">
        <v>263</v>
      </c>
      <c r="C6" s="40" t="s">
        <v>1</v>
      </c>
    </row>
    <row r="7" spans="2:3" ht="24" customHeight="1" x14ac:dyDescent="0.25">
      <c r="B7" s="39" t="s">
        <v>264</v>
      </c>
      <c r="C7" s="40" t="s">
        <v>265</v>
      </c>
    </row>
    <row r="8" spans="2:3" ht="24" customHeight="1" x14ac:dyDescent="0.25">
      <c r="B8" s="39" t="s">
        <v>266</v>
      </c>
      <c r="C8" s="40" t="s">
        <v>267</v>
      </c>
    </row>
    <row r="9" spans="2:3" ht="24" customHeight="1" x14ac:dyDescent="0.25">
      <c r="B9" s="39" t="s">
        <v>268</v>
      </c>
      <c r="C9" s="40" t="s">
        <v>269</v>
      </c>
    </row>
    <row r="10" spans="2:3" ht="24" customHeight="1" x14ac:dyDescent="0.25">
      <c r="B10" s="39" t="s">
        <v>120</v>
      </c>
      <c r="C10" s="40" t="s">
        <v>270</v>
      </c>
    </row>
    <row r="11" spans="2:3" ht="21.95" customHeight="1" x14ac:dyDescent="0.25"/>
    <row r="12" spans="2:3" ht="24" customHeight="1" x14ac:dyDescent="0.25">
      <c r="B12" s="7" t="s">
        <v>271</v>
      </c>
    </row>
    <row r="13" spans="2:3" ht="24" customHeight="1" x14ac:dyDescent="0.25">
      <c r="B13" s="39" t="s">
        <v>272</v>
      </c>
      <c r="C13" s="41">
        <v>81000</v>
      </c>
    </row>
    <row r="14" spans="2:3" ht="24" customHeight="1" x14ac:dyDescent="0.25">
      <c r="B14" s="39" t="s">
        <v>273</v>
      </c>
      <c r="C14" s="42">
        <v>180</v>
      </c>
    </row>
    <row r="15" spans="2:3" ht="48" customHeight="1" x14ac:dyDescent="0.25">
      <c r="B15" s="43" t="s">
        <v>274</v>
      </c>
      <c r="C15" s="44" t="s">
        <v>275</v>
      </c>
    </row>
  </sheetData>
  <mergeCells count="2">
    <mergeCell ref="B3:C3"/>
    <mergeCell ref="B2:C2"/>
  </mergeCells>
  <pageMargins left="0.4" right="0.4" top="0.5" bottom="0.5" header="0.2" footer="0.2"/>
  <pageSetup fitToHeight="0" orientation="portrait"/>
  <headerFooter>
    <oddFooter>&amp;L&amp;8 &amp;K3B3B3BPsi Planner 2&amp;C&amp;8 &amp;K3B3B3BClínica Vita&amp;R&amp;8 &amp;K3B3B3B&amp;P / 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78</vt:i4>
      </vt:variant>
    </vt:vector>
  </HeadingPairs>
  <TitlesOfParts>
    <vt:vector size="85" baseType="lpstr">
      <vt:lpstr>Menu Inicial</vt:lpstr>
      <vt:lpstr>Financeiro</vt:lpstr>
      <vt:lpstr>Pacientes</vt:lpstr>
      <vt:lpstr>Calendário</vt:lpstr>
      <vt:lpstr>Aniversariantes</vt:lpstr>
      <vt:lpstr>Relatórios</vt:lpstr>
      <vt:lpstr>Configurações</vt:lpstr>
      <vt:lpstr>ANIV_Idade</vt:lpstr>
      <vt:lpstr>ANIV_MsgEnviada</vt:lpstr>
      <vt:lpstr>ANIV_Nasc</vt:lpstr>
      <vt:lpstr>ANIV_Nome</vt:lpstr>
      <vt:lpstr>ANIV_Status</vt:lpstr>
      <vt:lpstr>ANIV_Telefone</vt:lpstr>
      <vt:lpstr>ANIV_TotalMes</vt:lpstr>
      <vt:lpstr>AVISO_Aniversariantes</vt:lpstr>
      <vt:lpstr>AVISO_MEI</vt:lpstr>
      <vt:lpstr>AVISO_Pendentes</vt:lpstr>
      <vt:lpstr>AVISO_SemSessao</vt:lpstr>
      <vt:lpstr>CAL_ConsultasDia</vt:lpstr>
      <vt:lpstr>CAL_Grid</vt:lpstr>
      <vt:lpstr>CAL_LogData</vt:lpstr>
      <vt:lpstr>CAL_LogStatus</vt:lpstr>
      <vt:lpstr>CAL_TaxaCancelamento</vt:lpstr>
      <vt:lpstr>CAL_TaxaFaltas</vt:lpstr>
      <vt:lpstr>CFG_Email</vt:lpstr>
      <vt:lpstr>CFG_LimiteMEI</vt:lpstr>
      <vt:lpstr>CFG_NomeClinica</vt:lpstr>
      <vt:lpstr>CFG_Profissional</vt:lpstr>
      <vt:lpstr>CFG_Registro</vt:lpstr>
      <vt:lpstr>CFG_Telefone</vt:lpstr>
      <vt:lpstr>CFG_ValorSessao</vt:lpstr>
      <vt:lpstr>DESP_Categoria</vt:lpstr>
      <vt:lpstr>DESP_Data</vt:lpstr>
      <vt:lpstr>DESP_Desc</vt:lpstr>
      <vt:lpstr>DESP_Forma</vt:lpstr>
      <vt:lpstr>DESP_Valor</vt:lpstr>
      <vt:lpstr>FIN_Data</vt:lpstr>
      <vt:lpstr>FIN_Forma</vt:lpstr>
      <vt:lpstr>FIN_Inadimplencia</vt:lpstr>
      <vt:lpstr>FIN_LucroLiquido</vt:lpstr>
      <vt:lpstr>FIN_NF</vt:lpstr>
      <vt:lpstr>FIN_NumNF</vt:lpstr>
      <vt:lpstr>FIN_Obs</vt:lpstr>
      <vt:lpstr>FIN_Paciente</vt:lpstr>
      <vt:lpstr>FIN_Status</vt:lpstr>
      <vt:lpstr>FIN_Tipo</vt:lpstr>
      <vt:lpstr>FIN_TotalPendente</vt:lpstr>
      <vt:lpstr>FIN_TotalRecebido</vt:lpstr>
      <vt:lpstr>FIN_Valor</vt:lpstr>
      <vt:lpstr>KPI_AniversariantesMes</vt:lpstr>
      <vt:lpstr>KPI_FaltasMes</vt:lpstr>
      <vt:lpstr>KPI_PacientesAtivos</vt:lpstr>
      <vt:lpstr>KPI_ProxConsulta</vt:lpstr>
      <vt:lpstr>KPI_ReceitaMes</vt:lpstr>
      <vt:lpstr>KPI_ValorPendente</vt:lpstr>
      <vt:lpstr>MEI_Faturamento</vt:lpstr>
      <vt:lpstr>MEI_Indicador</vt:lpstr>
      <vt:lpstr>PAC_Convenio</vt:lpstr>
      <vt:lpstr>PAC_Idade</vt:lpstr>
      <vt:lpstr>PAC_Nasc</vt:lpstr>
      <vt:lpstr>PAC_Nome</vt:lpstr>
      <vt:lpstr>PAC_Saldo</vt:lpstr>
      <vt:lpstr>PAC_SessContratadas</vt:lpstr>
      <vt:lpstr>PAC_SessRealizadas</vt:lpstr>
      <vt:lpstr>PAC_Status</vt:lpstr>
      <vt:lpstr>PAC_UltimaSessao</vt:lpstr>
      <vt:lpstr>PAC_ValorSessao</vt:lpstr>
      <vt:lpstr>Aniversariantes!Print_Area</vt:lpstr>
      <vt:lpstr>Calendário!Print_Area</vt:lpstr>
      <vt:lpstr>Configurações!Print_Area</vt:lpstr>
      <vt:lpstr>Financeiro!Print_Area</vt:lpstr>
      <vt:lpstr>'Menu Inicial'!Print_Area</vt:lpstr>
      <vt:lpstr>Pacientes!Print_Area</vt:lpstr>
      <vt:lpstr>Relatórios!Print_Area</vt:lpstr>
      <vt:lpstr>Aniversariantes!Print_Titles</vt:lpstr>
      <vt:lpstr>Financeiro!Print_Titles</vt:lpstr>
      <vt:lpstr>Pacientes!Print_Titles</vt:lpstr>
      <vt:lpstr>REL_Atendimentos</vt:lpstr>
      <vt:lpstr>REL_Ativos</vt:lpstr>
      <vt:lpstr>REL_ComparativoMeses</vt:lpstr>
      <vt:lpstr>REL_ReceitaAnual</vt:lpstr>
      <vt:lpstr>REL_ReceitaConvenio</vt:lpstr>
      <vt:lpstr>REL_ReceitaMensal</vt:lpstr>
      <vt:lpstr>REL_TaxaCancelamento</vt:lpstr>
      <vt:lpstr>REL_TaxaInadimplencia</vt:lpstr>
    </vt:vector>
  </TitlesOfParts>
  <Company>Psi Planner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Psi Planner 2</dc:title>
  <dc:subject>Planejador financeiro-clínico para psicólogos e terapeutas</dc:subject>
  <dc:creator>Psi Planner 2</dc:creator>
  <cp:keywords>psicologia, financeiro, MEI, agenda, clínica</cp:keywords>
  <dc:description>Psi Planner 2 — controle financeiro, agenda e indicadores para profissionais de saúde mental.</dc:description>
  <cp:lastModifiedBy>Vittor</cp:lastModifiedBy>
  <dcterms:created xsi:type="dcterms:W3CDTF">2026-05-29T00:43:29Z</dcterms:created>
  <dcterms:modified xsi:type="dcterms:W3CDTF">2026-05-29T00:45:23Z</dcterms:modified>
  <cp:category>Planilha financeira</cp:category>
</cp:coreProperties>
</file>