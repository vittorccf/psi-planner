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 Inicial" sheetId="1" state="visible" r:id="rId1"/>
    <sheet xmlns:r="http://schemas.openxmlformats.org/officeDocument/2006/relationships" name="Financeiro" sheetId="2" state="visible" r:id="rId2"/>
    <sheet xmlns:r="http://schemas.openxmlformats.org/officeDocument/2006/relationships" name="Pacientes" sheetId="3" state="visible" r:id="rId3"/>
    <sheet xmlns:r="http://schemas.openxmlformats.org/officeDocument/2006/relationships" name="Calendário" sheetId="4" state="visible" r:id="rId4"/>
    <sheet xmlns:r="http://schemas.openxmlformats.org/officeDocument/2006/relationships" name="Aniversariantes" sheetId="5" state="visible" r:id="rId5"/>
    <sheet xmlns:r="http://schemas.openxmlformats.org/officeDocument/2006/relationships" name="Relatórios" sheetId="6" state="visible" r:id="rId6"/>
    <sheet xmlns:r="http://schemas.openxmlformats.org/officeDocument/2006/relationships" name="Configurações" sheetId="7" state="visible" r:id="rId7"/>
  </sheets>
  <definedNames>
    <definedName name="KPI_PacientesAtivos">'Menu Inicial'!$B$7</definedName>
    <definedName name="KPI_ReceitaMes">'Menu Inicial'!$C$7</definedName>
    <definedName name="KPI_ValorPendente">'Menu Inicial'!$D$7</definedName>
    <definedName name="KPI_ProxConsulta">'Menu Inicial'!$F$7</definedName>
    <definedName name="KPI_FaltasMes">'Menu Inicial'!$G$7</definedName>
    <definedName name="KPI_AniversariantesMes">'Menu Inicial'!$H$7</definedName>
    <definedName name="AVISO_SemSessao">'Menu Inicial'!$J$6</definedName>
    <definedName name="AVISO_MEI">'Menu Inicial'!$J$9</definedName>
    <definedName name="AVISO_Pendentes">'Menu Inicial'!$J$11</definedName>
    <definedName name="AVISO_Aniversariantes">'Menu Inicial'!$J$13</definedName>
    <definedName name="FIN_Data">'Financeiro'!$B$7:$B$56</definedName>
    <definedName name="FIN_Paciente">'Financeiro'!$C$7:$C$56</definedName>
    <definedName name="FIN_Tipo">'Financeiro'!$D$7:$D$56</definedName>
    <definedName name="FIN_Forma">'Financeiro'!$E$7:$E$56</definedName>
    <definedName name="FIN_Valor">'Financeiro'!$F$7:$F$56</definedName>
    <definedName name="FIN_Status">'Financeiro'!$G$7:$G$56</definedName>
    <definedName name="FIN_NF">'Financeiro'!$H$7:$H$56</definedName>
    <definedName name="FIN_NumNF">'Financeiro'!$I$7:$I$56</definedName>
    <definedName name="FIN_Obs">'Financeiro'!$J$7:$J$56</definedName>
    <definedName name="DESP_Data">'Financeiro'!$B$61:$B$74</definedName>
    <definedName name="DESP_Categoria">'Financeiro'!$C$61:$C$74</definedName>
    <definedName name="DESP_Desc">'Financeiro'!$D$61:$D$74</definedName>
    <definedName name="DESP_Valor">'Financeiro'!$E$61:$E$74</definedName>
    <definedName name="DESP_Forma">'Financeiro'!$F$61:$F$74</definedName>
    <definedName name="FIN_TotalRecebido">'Financeiro'!$M$6</definedName>
    <definedName name="FIN_TotalPendente">'Financeiro'!$M$7</definedName>
    <definedName name="FIN_LucroLiquido">'Financeiro'!$M$8</definedName>
    <definedName name="FIN_Inadimplencia">'Financeiro'!$M$9</definedName>
    <definedName name="MEI_Indicador">'Financeiro'!$M$10</definedName>
    <definedName name="MEI_Faturamento">'Financeiro'!$M$11</definedName>
    <definedName name="PAC_Nome">'Pacientes'!$B$7:$B$56</definedName>
    <definedName name="PAC_Nasc">'Pacientes'!$E$7:$E$56</definedName>
    <definedName name="PAC_Idade">'Pacientes'!$F$7:$F$56</definedName>
    <definedName name="PAC_Convenio">'Pacientes'!$J$7:$J$56</definedName>
    <definedName name="PAC_ValorSessao">'Pacientes'!$N$7:$N$56</definedName>
    <definedName name="PAC_Status">'Pacientes'!$O$7:$O$56</definedName>
    <definedName name="PAC_SessContratadas">'Pacientes'!$P$7:$P$56</definedName>
    <definedName name="PAC_SessRealizadas">'Pacientes'!$Q$7:$Q$56</definedName>
    <definedName name="PAC_Saldo">'Pacientes'!$R$7:$R$56</definedName>
    <definedName name="PAC_UltimaSessao">'Pacientes'!$S$7:$S$56</definedName>
    <definedName name="CAL_Grid">'Calendário'!$C$6:$H$21</definedName>
    <definedName name="CAL_ConsultasDia">'Calendário'!$K$5</definedName>
    <definedName name="CAL_TaxaCancelamento">'Calendário'!$K$6</definedName>
    <definedName name="CAL_TaxaFaltas">'Calendário'!$K$7</definedName>
    <definedName name="CAL_LogData">'Calendário'!$A$100:$A$160</definedName>
    <definedName name="CAL_LogStatus">'Calendário'!$E$100:$E$160</definedName>
    <definedName name="ANIV_Nome">'Aniversariantes'!$B$7:$B$56</definedName>
    <definedName name="ANIV_Nasc">'Aniversariantes'!$C$7:$C$56</definedName>
    <definedName name="ANIV_Idade">'Aniversariantes'!$D$7:$D$56</definedName>
    <definedName name="ANIV_Telefone">'Aniversariantes'!$F$7:$F$56</definedName>
    <definedName name="ANIV_Status">'Aniversariantes'!$G$7:$G$56</definedName>
    <definedName name="ANIV_MsgEnviada">'Aniversariantes'!$H$7:$H$56</definedName>
    <definedName name="ANIV_TotalMes">'Aniversariantes'!$K$5</definedName>
    <definedName name="REL_ReceitaMensal">'Relatórios'!$C$6</definedName>
    <definedName name="REL_ReceitaAnual">'Relatórios'!$C$7</definedName>
    <definedName name="REL_Atendimentos">'Relatórios'!$C$8</definedName>
    <definedName name="REL_Ativos">'Relatórios'!$F$6</definedName>
    <definedName name="REL_TaxaCancelamento">'Relatórios'!$F$7</definedName>
    <definedName name="REL_TaxaInadimplencia">'Relatórios'!$F$8</definedName>
    <definedName name="REL_ReceitaConvenio">'Relatórios'!$I$6</definedName>
    <definedName name="REL_ComparativoMeses">'Relatórios'!$I$7</definedName>
    <definedName name="CFG_NomeClinica">'Configurações'!$C$6</definedName>
    <definedName name="CFG_Profissional">'Configurações'!$C$7</definedName>
    <definedName name="CFG_Registro">'Configurações'!$C$8</definedName>
    <definedName name="CFG_Telefone">'Configurações'!$C$9</definedName>
    <definedName name="CFG_Email">'Configurações'!$C$10</definedName>
    <definedName name="CFG_LimiteMEI">'Configurações'!$C$13</definedName>
    <definedName name="CFG_ValorSessao">'Configurações'!$C$14</definedName>
    <definedName name="CFG_ExibirConvenio">'Configurações'!$C$18</definedName>
    <definedName name="CFG_Tema">'Configurações'!$C$21</definedName>
    <definedName name="_xlnm.Print_Titles" localSheetId="1">'Financeiro'!$1:$6</definedName>
    <definedName name="_xlnm.Print_Titles" localSheetId="2">'Pacientes'!$1:$6</definedName>
    <definedName name="_xlnm.Print_Titles" localSheetId="4">'Aniversariantes'!$1:$6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dd/mm/yyyy"/>
    <numFmt numFmtId="166" formatCode="R$ #,##0.00"/>
    <numFmt numFmtId="167" formatCode="0.0%"/>
    <numFmt numFmtId="168" formatCode="d &quot;de&quot; mmmm &quot;de&quot; yyyy"/>
    <numFmt numFmtId="169" formatCode="R$ #,##0"/>
  </numFmts>
  <fonts count="22">
    <font>
      <name val="Calibri"/>
      <family val="2"/>
      <color theme="1"/>
      <sz val="11"/>
      <scheme val="minor"/>
    </font>
    <font>
      <name val="Prata"/>
      <b val="1"/>
      <color rgb="FF000000"/>
      <sz val="30"/>
    </font>
    <font>
      <name val="Segoe UI Light"/>
      <color rgb="FFA6A6A6"/>
      <sz val="13"/>
    </font>
    <font>
      <name val="Inter"/>
      <color rgb="FF3B3B3B"/>
      <sz val="11"/>
    </font>
    <font>
      <name val="Inter"/>
      <color rgb="FF3B3B3B"/>
      <sz val="9"/>
    </font>
    <font>
      <name val="Inter"/>
      <color rgb="FF000000"/>
      <sz val="18"/>
    </font>
    <font>
      <name val="Inter"/>
      <color rgb="FF5A1E2A"/>
      <sz val="18"/>
    </font>
    <font>
      <name val="Inter"/>
      <color rgb="FF000000"/>
      <sz val="15"/>
    </font>
    <font>
      <name val="Prata"/>
      <b val="1"/>
      <color rgb="FF3B3B3B"/>
      <sz val="13"/>
    </font>
    <font>
      <name val="Inter"/>
      <color rgb="FF5A1E2A"/>
      <sz val="12"/>
    </font>
    <font>
      <name val="Prata"/>
      <b val="1"/>
      <color rgb="FF000000"/>
      <sz val="26"/>
    </font>
    <font>
      <name val="Inter"/>
      <color rgb="FF5A1E2A"/>
      <sz val="15"/>
    </font>
    <font>
      <name val="Inter"/>
      <color rgb="FF3B3B3B"/>
      <sz val="15"/>
    </font>
    <font>
      <name val="Inter"/>
      <color rgb="FFFFFFFF"/>
      <sz val="11"/>
    </font>
    <font>
      <name val="Inter"/>
      <color rgb="FF000000"/>
      <sz val="10"/>
    </font>
    <font>
      <name val="Inter"/>
      <color rgb="FF000000"/>
      <sz val="8"/>
    </font>
    <font>
      <name val="Inter"/>
      <color rgb="FFA6A6A6"/>
      <sz val="9"/>
    </font>
    <font>
      <name val="Segoe UI Semilight"/>
      <color rgb="FF5A1E2A"/>
      <sz val="11"/>
    </font>
    <font>
      <name val="Prata"/>
      <color rgb="FFC9A86A"/>
      <sz val="12"/>
    </font>
    <font>
      <name val="Inter"/>
      <color rgb="FFA6A6A6"/>
      <sz val="11"/>
    </font>
    <font>
      <name val="Inter"/>
      <color rgb="FF000000"/>
      <sz val="11"/>
    </font>
    <font>
      <name val="Segoe UI Light"/>
      <color rgb="FF3B3B3B"/>
      <sz val="13"/>
    </font>
  </fonts>
  <fills count="6">
    <fill>
      <patternFill/>
    </fill>
    <fill>
      <patternFill patternType="gray125"/>
    </fill>
    <fill>
      <patternFill patternType="solid">
        <fgColor rgb="FFF4F4F4"/>
      </patternFill>
    </fill>
    <fill>
      <patternFill patternType="solid">
        <fgColor rgb="FF3B3B3B"/>
      </patternFill>
    </fill>
    <fill>
      <patternFill patternType="solid">
        <fgColor rgb="FFFAFAF8"/>
      </patternFill>
    </fill>
    <fill>
      <patternFill patternType="solid">
        <fgColor rgb="FF5A1E2A"/>
      </patternFill>
    </fill>
  </fills>
  <borders count="8">
    <border>
      <left/>
      <right/>
      <top/>
      <bottom/>
      <diagonal/>
    </border>
    <border>
      <left/>
      <right/>
      <top/>
      <bottom style="thin">
        <color rgb="FFEDEDED"/>
      </bottom>
    </border>
    <border>
      <bottom style="thin">
        <color rgb="FFEDEDED"/>
      </bottom>
    </border>
    <border>
      <left/>
      <right/>
      <top/>
      <bottom style="thin">
        <color rgb="FFEDEDED"/>
      </bottom>
      <diagonal/>
    </border>
    <border>
      <left/>
      <right/>
      <top/>
      <bottom style="thin">
        <color rgb="FF5A1E2A"/>
      </bottom>
    </border>
    <border/>
    <border>
      <bottom style="thin">
        <color rgb="FF3B3B3B"/>
      </bottom>
    </border>
    <border>
      <left/>
      <right/>
      <top style="thin">
        <color rgb="FF8A6A33"/>
      </top>
      <bottom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0" fillId="5" borderId="0" pivotButton="0" quotePrefix="0" xfId="0"/>
    <xf numFmtId="0" fontId="18" fillId="5" borderId="0" applyAlignment="1" pivotButton="0" quotePrefix="0" xfId="0">
      <alignment horizontal="left" vertical="center"/>
    </xf>
    <xf numFmtId="0" fontId="0" fillId="4" borderId="7" pivotButton="0" quotePrefix="0" xfId="0"/>
    <xf numFmtId="0" fontId="1" fillId="4" borderId="7" applyAlignment="1" pivotButton="0" quotePrefix="0" xfId="0">
      <alignment horizontal="left" vertical="center"/>
    </xf>
    <xf numFmtId="168" fontId="3" fillId="4" borderId="7" applyAlignment="1" pivotButton="0" quotePrefix="0" xfId="0">
      <alignment horizontal="right" vertical="center"/>
    </xf>
    <xf numFmtId="0" fontId="0" fillId="4" borderId="0" pivotButton="0" quotePrefix="0" xfId="0"/>
    <xf numFmtId="0" fontId="21" fillId="4" borderId="0" applyAlignment="1" pivotButton="0" quotePrefix="0" xfId="0">
      <alignment horizontal="left" vertical="center"/>
    </xf>
    <xf numFmtId="0" fontId="0" fillId="4" borderId="1" pivotButton="0" quotePrefix="0" xfId="0"/>
    <xf numFmtId="0" fontId="9" fillId="4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/>
    </xf>
    <xf numFmtId="169" fontId="5" fillId="2" borderId="0" applyAlignment="1" pivotButton="0" quotePrefix="0" xfId="0">
      <alignment horizontal="center" vertical="center"/>
    </xf>
    <xf numFmtId="169" fontId="6" fillId="2" borderId="4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0" fillId="4" borderId="3" pivotButton="0" quotePrefix="0" xfId="0"/>
    <xf numFmtId="0" fontId="8" fillId="4" borderId="0" applyAlignment="1" pivotButton="0" quotePrefix="0" xfId="0">
      <alignment horizontal="left" vertical="center"/>
    </xf>
    <xf numFmtId="0" fontId="0" fillId="4" borderId="5" pivotButton="0" quotePrefix="0" xfId="0"/>
    <xf numFmtId="0" fontId="4" fillId="4" borderId="5" applyAlignment="1" pivotButton="0" quotePrefix="0" xfId="0">
      <alignment horizontal="left" vertical="top"/>
    </xf>
    <xf numFmtId="0" fontId="10" fillId="4" borderId="7" applyAlignment="1" pivotButton="0" quotePrefix="0" xfId="0">
      <alignment horizontal="left" vertical="center"/>
    </xf>
    <xf numFmtId="0" fontId="3" fillId="2" borderId="4" applyAlignment="1" pivotButton="0" quotePrefix="0" xfId="0">
      <alignment horizontal="center" vertical="center"/>
    </xf>
    <xf numFmtId="0" fontId="3" fillId="2" borderId="4" applyAlignment="1" pivotButton="0" quotePrefix="0" xfId="0">
      <alignment horizontal="left" vertical="center"/>
    </xf>
    <xf numFmtId="0" fontId="3" fillId="2" borderId="4" applyAlignment="1" pivotButton="0" quotePrefix="0" xfId="0">
      <alignment horizontal="right" vertical="center"/>
    </xf>
    <xf numFmtId="0" fontId="4" fillId="2" borderId="1" applyAlignment="1" pivotButton="0" quotePrefix="0" xfId="0">
      <alignment horizontal="left" vertical="center"/>
    </xf>
    <xf numFmtId="166" fontId="7" fillId="2" borderId="1" applyAlignment="1" pivotButton="0" quotePrefix="0" xfId="0">
      <alignment horizontal="right" vertical="center"/>
    </xf>
    <xf numFmtId="165" fontId="14" fillId="4" borderId="2" applyAlignment="1" pivotButton="0" quotePrefix="0" xfId="0">
      <alignment horizontal="center" vertical="center"/>
    </xf>
    <xf numFmtId="0" fontId="14" fillId="4" borderId="2" applyAlignment="1" pivotButton="0" quotePrefix="0" xfId="0">
      <alignment horizontal="left" vertical="center"/>
    </xf>
    <xf numFmtId="0" fontId="14" fillId="4" borderId="2" applyAlignment="1" pivotButton="0" quotePrefix="0" xfId="0">
      <alignment horizontal="center" vertical="center"/>
    </xf>
    <xf numFmtId="166" fontId="14" fillId="4" borderId="2" applyAlignment="1" pivotButton="0" quotePrefix="0" xfId="0">
      <alignment horizontal="right" vertical="center"/>
    </xf>
    <xf numFmtId="166" fontId="11" fillId="2" borderId="1" applyAlignment="1" pivotButton="0" quotePrefix="0" xfId="0">
      <alignment horizontal="right" vertical="center"/>
    </xf>
    <xf numFmtId="167" fontId="7" fillId="2" borderId="1" applyAlignment="1" pivotButton="0" quotePrefix="0" xfId="0">
      <alignment horizontal="right" vertical="center"/>
    </xf>
    <xf numFmtId="0" fontId="12" fillId="2" borderId="1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166" fontId="7" fillId="2" borderId="0" applyAlignment="1" pivotButton="0" quotePrefix="0" xfId="0">
      <alignment horizontal="right" vertical="center"/>
    </xf>
    <xf numFmtId="0" fontId="20" fillId="2" borderId="4" applyAlignment="1" pivotButton="0" quotePrefix="0" xfId="0">
      <alignment horizontal="center" vertical="center"/>
    </xf>
    <xf numFmtId="0" fontId="7" fillId="2" borderId="0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center"/>
    </xf>
    <xf numFmtId="167" fontId="7" fillId="2" borderId="0" applyAlignment="1" pivotButton="0" quotePrefix="0" xfId="0">
      <alignment horizontal="right" vertical="center"/>
    </xf>
    <xf numFmtId="0" fontId="15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left" vertical="center"/>
    </xf>
    <xf numFmtId="0" fontId="14" fillId="4" borderId="1" applyAlignment="1" pivotButton="0" quotePrefix="0" xfId="0">
      <alignment horizontal="center" vertical="center"/>
    </xf>
    <xf numFmtId="0" fontId="4" fillId="0" borderId="0" pivotButton="0" quotePrefix="0" xfId="0"/>
    <xf numFmtId="165" fontId="4" fillId="0" borderId="0" pivotButton="0" quotePrefix="0" xfId="0"/>
    <xf numFmtId="0" fontId="11" fillId="2" borderId="0" applyAlignment="1" pivotButton="0" quotePrefix="0" xfId="0">
      <alignment horizontal="right" vertical="center"/>
    </xf>
    <xf numFmtId="167" fontId="11" fillId="2" borderId="0" applyAlignment="1" pivotButton="0" quotePrefix="0" xfId="0">
      <alignment horizontal="right" vertical="center"/>
    </xf>
    <xf numFmtId="0" fontId="4" fillId="4" borderId="0" applyAlignment="1" pivotButton="0" quotePrefix="0" xfId="0">
      <alignment horizontal="left" vertical="center"/>
    </xf>
    <xf numFmtId="0" fontId="14" fillId="2" borderId="6" applyAlignment="1" pivotButton="0" quotePrefix="0" xfId="0">
      <alignment horizontal="left" vertical="center"/>
    </xf>
    <xf numFmtId="169" fontId="14" fillId="2" borderId="6" applyAlignment="1" pivotButton="0" quotePrefix="0" xfId="0">
      <alignment horizontal="right" vertical="center"/>
    </xf>
    <xf numFmtId="166" fontId="14" fillId="2" borderId="6" applyAlignment="1" pivotButton="0" quotePrefix="0" xfId="0">
      <alignment horizontal="right" vertical="center"/>
    </xf>
    <xf numFmtId="0" fontId="4" fillId="4" borderId="0" applyAlignment="1" pivotButton="0" quotePrefix="0" xfId="0">
      <alignment horizontal="left" vertical="top"/>
    </xf>
    <xf numFmtId="0" fontId="4" fillId="2" borderId="0" applyAlignment="1" pivotButton="0" quotePrefix="0" xfId="0">
      <alignment horizontal="left" vertical="center" wrapText="1"/>
    </xf>
    <xf numFmtId="0" fontId="14" fillId="2" borderId="0" applyAlignment="1" pivotButton="0" quotePrefix="0" xfId="0">
      <alignment horizontal="center" vertical="center"/>
    </xf>
  </cellXfs>
  <cellStyles count="1">
    <cellStyle name="Normal" xfId="0" builtinId="0" hidden="0"/>
  </cellStyles>
  <dxfs count="7">
    <dxf>
      <font>
        <color rgb="FF1F3B1F"/>
      </font>
      <fill>
        <patternFill patternType="solid">
          <fgColor rgb="FFD9EAD3"/>
          <bgColor rgb="FFD9EAD3"/>
        </patternFill>
      </fill>
    </dxf>
    <dxf>
      <font>
        <color rgb="FF3A1018"/>
      </font>
      <fill>
        <patternFill patternType="solid">
          <fgColor rgb="FFF4CCCC"/>
          <bgColor rgb="FFF4CCCC"/>
        </patternFill>
      </fill>
    </dxf>
    <dxf>
      <font>
        <color rgb="FF5A4A1E"/>
      </font>
      <fill>
        <patternFill patternType="solid">
          <fgColor rgb="FFFFF2CC"/>
          <bgColor rgb="FFFFF2CC"/>
        </patternFill>
      </fill>
    </dxf>
    <dxf>
      <font>
        <color rgb="FF000000"/>
      </font>
      <fill>
        <patternFill patternType="solid">
          <fgColor rgb="FFF4CCCC"/>
          <bgColor rgb="FFF4CCCC"/>
        </patternFill>
      </fill>
    </dxf>
    <dxf>
      <font>
        <color rgb="FF5A1E2A"/>
      </font>
    </dxf>
    <dxf>
      <font>
        <color rgb="FF000000"/>
      </font>
      <fill>
        <patternFill patternType="solid">
          <fgColor rgb="FFEAEAEA"/>
          <bgColor rgb="FFEAEAEA"/>
        </patternFill>
      </fill>
    </dxf>
    <dxf>
      <font>
        <color rgb="FF5A1E2A"/>
      </font>
      <border>
        <left style="medium">
          <color rgb="FF5A1E2A"/>
        </left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0" i="0">
                <a:solidFill>
                  <a:srgbClr val="3B3B3B"/>
                </a:solidFill>
                <a:latin typeface="Prata"/>
              </a:defRPr>
            </a:pPr>
            <a:r>
              <a:rPr sz="1100" b="0" i="0">
                <a:solidFill>
                  <a:srgbClr val="3B3B3B"/>
                </a:solidFill>
                <a:latin typeface="Prata"/>
              </a:rPr>
              <a:t>Receita mensal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'Financeiro'!AC1</f>
            </strRef>
          </tx>
          <spPr>
            <a:solidFill xmlns:a="http://schemas.openxmlformats.org/drawingml/2006/main">
              <a:srgbClr val="5A1E2A"/>
            </a:solidFill>
            <a:ln xmlns:a="http://schemas.openxmlformats.org/drawingml/2006/main">
              <a:solidFill>
                <a:srgbClr val="5A1E2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'Financeiro'!$AB$2:$AB$13</f>
            </numRef>
          </cat>
          <val>
            <numRef>
              <f>'Financeiro'!$AC$2:$AC$13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3B3B3B"/>
                </a:solidFill>
                <a:latin typeface="Inter"/>
              </a:defRPr>
            </a:pPr>
            <a:r>
              <a:t/>
            </a:r>
            <a:endParaRPr sz="800">
              <a:solidFill>
                <a:srgbClr val="3B3B3B"/>
              </a:solidFill>
              <a:latin typeface="Inter"/>
            </a:endParaRPr>
          </a:p>
        </txPr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3B3B3B"/>
                </a:solidFill>
                <a:latin typeface="Inter"/>
              </a:defRPr>
            </a:pPr>
            <a:r>
              <a:t/>
            </a:r>
            <a:endParaRPr sz="800">
              <a:solidFill>
                <a:srgbClr val="3B3B3B"/>
              </a:solidFill>
              <a:latin typeface="Inter"/>
            </a:endParaRPr>
          </a:p>
        </txPr>
        <crossAx val="10"/>
      </valAx>
    </plotArea>
    <plotVisOnly val="1"/>
    <dispBlanksAs val="gap"/>
  </chart>
  <spPr>
    <a:ln xmlns:a="http://schemas.openxmlformats.org/drawingml/2006/main">
      <a:solidFill>
        <a:srgbClr val="E8E8E8"/>
      </a:solidFill>
      <a:prstDash val="solid"/>
    </a:ln>
  </spPr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0" i="0">
                <a:solidFill>
                  <a:srgbClr val="3B3B3B"/>
                </a:solidFill>
                <a:latin typeface="Prata"/>
              </a:defRPr>
            </a:pPr>
            <a:r>
              <a:rPr sz="1100" b="0" i="0">
                <a:solidFill>
                  <a:srgbClr val="3B3B3B"/>
                </a:solidFill>
                <a:latin typeface="Prata"/>
              </a:rPr>
              <a:t>Receita x Despesa</a:t>
            </a:r>
          </a:p>
        </rich>
      </tx>
      <overlay val="0"/>
    </title>
    <plotArea>
      <barChart>
        <barDir val="bar"/>
        <grouping val="clustered"/>
        <varyColors val="1"/>
        <ser>
          <idx val="0"/>
          <order val="0"/>
          <tx>
            <strRef>
              <f>'Financeiro'!AF1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6E8E6E"/>
              </a:solidFill>
              <a:ln xmlns:a="http://schemas.openxmlformats.org/drawingml/2006/main">
                <a:solidFill>
                  <a:srgbClr val="6E8E6E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5A1E2A"/>
              </a:solidFill>
              <a:ln xmlns:a="http://schemas.openxmlformats.org/drawingml/2006/main">
                <a:solidFill>
                  <a:srgbClr val="5A1E2A"/>
                </a:solidFill>
                <a:prstDash val="solid"/>
              </a:ln>
            </spPr>
          </dPt>
          <cat>
            <numRef>
              <f>'Financeiro'!$AE$2:$AE$3</f>
            </numRef>
          </cat>
          <val>
            <numRef>
              <f>'Financeiro'!$AF$2:$AF$3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3B3B3B"/>
                </a:solidFill>
                <a:latin typeface="Inter"/>
              </a:defRPr>
            </a:pPr>
            <a:r>
              <a:t/>
            </a:r>
            <a:endParaRPr sz="800">
              <a:solidFill>
                <a:srgbClr val="3B3B3B"/>
              </a:solidFill>
              <a:latin typeface="Inter"/>
            </a:endParaRPr>
          </a:p>
        </txPr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3B3B3B"/>
                </a:solidFill>
                <a:latin typeface="Inter"/>
              </a:defRPr>
            </a:pPr>
            <a:r>
              <a:t/>
            </a:r>
            <a:endParaRPr sz="800">
              <a:solidFill>
                <a:srgbClr val="3B3B3B"/>
              </a:solidFill>
              <a:latin typeface="Inter"/>
            </a:endParaRPr>
          </a:p>
        </txPr>
        <crossAx val="10"/>
      </valAx>
    </plotArea>
    <plotVisOnly val="1"/>
    <dispBlanksAs val="gap"/>
  </chart>
  <spPr>
    <a:ln xmlns:a="http://schemas.openxmlformats.org/drawingml/2006/main">
      <a:solidFill>
        <a:srgbClr val="E8E8E8"/>
      </a:solidFill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0" i="0">
                <a:solidFill>
                  <a:srgbClr val="3B3B3B"/>
                </a:solidFill>
                <a:latin typeface="Prata"/>
              </a:defRPr>
            </a:pPr>
            <a:r>
              <a:rPr sz="1100" b="0" i="0">
                <a:solidFill>
                  <a:srgbClr val="3B3B3B"/>
                </a:solidFill>
                <a:latin typeface="Prata"/>
              </a:rPr>
              <a:t>Pago x Pendente</a:t>
            </a:r>
          </a:p>
        </rich>
      </tx>
      <overlay val="0"/>
    </title>
    <plotArea>
      <doughnutChart>
        <varyColors val="1"/>
        <ser>
          <idx val="0"/>
          <order val="0"/>
          <tx>
            <strRef>
              <f>'Financeiro'!AI1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6E8E6E"/>
              </a:solidFill>
              <a:ln xmlns:a="http://schemas.openxmlformats.org/drawingml/2006/main">
                <a:solidFill>
                  <a:srgbClr val="FAFAF8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5A1E2A"/>
              </a:solidFill>
              <a:ln xmlns:a="http://schemas.openxmlformats.org/drawingml/2006/main">
                <a:solidFill>
                  <a:srgbClr val="FAFAF8"/>
                </a:solidFill>
                <a:prstDash val="solid"/>
              </a:ln>
            </spPr>
          </dPt>
          <cat>
            <numRef>
              <f>'Financeiro'!$AH$2:$AH$3</f>
            </numRef>
          </cat>
          <val>
            <numRef>
              <f>'Financeiro'!$AI$2:$AI$3</f>
            </numRef>
          </val>
        </ser>
        <firstSliceAng val="0"/>
        <holeSize val="55"/>
      </doughnutChart>
    </plotArea>
    <legend>
      <legendPos val="r"/>
    </legend>
    <plotVisOnly val="1"/>
    <dispBlanksAs val="gap"/>
  </chart>
  <spPr>
    <a:ln xmlns:a="http://schemas.openxmlformats.org/drawingml/2006/main">
      <a:solidFill>
        <a:srgbClr val="E8E8E8"/>
      </a:solidFill>
      <a:prstDash val="solid"/>
    </a:ln>
  </spPr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0" i="0">
                <a:solidFill>
                  <a:srgbClr val="3B3B3B"/>
                </a:solidFill>
                <a:latin typeface="Prata"/>
              </a:defRPr>
            </a:pPr>
            <a:r>
              <a:rPr sz="1100" b="0" i="0">
                <a:solidFill>
                  <a:srgbClr val="3B3B3B"/>
                </a:solidFill>
                <a:latin typeface="Prata"/>
              </a:rPr>
              <a:t>Evolução acumulada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'Financeiro'!AL1</f>
            </strRef>
          </tx>
          <spPr>
            <a:solidFill xmlns:a="http://schemas.openxmlformats.org/drawingml/2006/main">
              <a:srgbClr val="5A1E2A"/>
            </a:solidFill>
            <a:ln xmlns:a="http://schemas.openxmlformats.org/drawingml/2006/main">
              <a:solidFill>
                <a:srgbClr val="5A1E2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'Financeiro'!$AK$2:$AK$13</f>
            </numRef>
          </cat>
          <val>
            <numRef>
              <f>'Financeiro'!$AL$2:$AL$13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3B3B3B"/>
                </a:solidFill>
                <a:latin typeface="Inter"/>
              </a:defRPr>
            </a:pPr>
            <a:r>
              <a:t/>
            </a:r>
            <a:endParaRPr sz="800">
              <a:solidFill>
                <a:srgbClr val="3B3B3B"/>
              </a:solidFill>
              <a:latin typeface="Inter"/>
            </a:endParaRPr>
          </a:p>
        </txPr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3B3B3B"/>
                </a:solidFill>
                <a:latin typeface="Inter"/>
              </a:defRPr>
            </a:pPr>
            <a:r>
              <a:t/>
            </a:r>
            <a:endParaRPr sz="800">
              <a:solidFill>
                <a:srgbClr val="3B3B3B"/>
              </a:solidFill>
              <a:latin typeface="Inter"/>
            </a:endParaRPr>
          </a:p>
        </txPr>
        <crossAx val="10"/>
      </valAx>
    </plotArea>
    <plotVisOnly val="1"/>
    <dispBlanksAs val="gap"/>
  </chart>
  <spPr>
    <a:ln xmlns:a="http://schemas.openxmlformats.org/drawingml/2006/main">
      <a:solidFill>
        <a:srgbClr val="E8E8E8"/>
      </a:solidFill>
      <a:prstDash val="solid"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0" i="0">
                <a:solidFill>
                  <a:srgbClr val="3B3B3B"/>
                </a:solidFill>
                <a:latin typeface="Prata"/>
              </a:defRPr>
            </a:pPr>
            <a:r>
              <a:rPr sz="1100" b="0" i="0">
                <a:solidFill>
                  <a:srgbClr val="3B3B3B"/>
                </a:solidFill>
                <a:latin typeface="Prata"/>
              </a:rPr>
              <a:t>Distribuição por forma</a:t>
            </a:r>
          </a:p>
        </rich>
      </tx>
      <overlay val="0"/>
    </title>
    <plotArea>
      <doughnutChart>
        <varyColors val="1"/>
        <ser>
          <idx val="0"/>
          <order val="0"/>
          <tx>
            <strRef>
              <f>'Financeiro'!AO1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5A1E2A"/>
              </a:solidFill>
              <a:ln xmlns:a="http://schemas.openxmlformats.org/drawingml/2006/main">
                <a:solidFill>
                  <a:srgbClr val="FAFAF8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9A86A"/>
              </a:solidFill>
              <a:ln xmlns:a="http://schemas.openxmlformats.org/drawingml/2006/main">
                <a:solidFill>
                  <a:srgbClr val="FAFAF8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6E8E6E"/>
              </a:solidFill>
              <a:ln xmlns:a="http://schemas.openxmlformats.org/drawingml/2006/main">
                <a:solidFill>
                  <a:srgbClr val="FAFAF8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C0805E"/>
              </a:solidFill>
              <a:ln xmlns:a="http://schemas.openxmlformats.org/drawingml/2006/main">
                <a:solidFill>
                  <a:srgbClr val="FAFAF8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7E8AA8"/>
              </a:solidFill>
              <a:ln xmlns:a="http://schemas.openxmlformats.org/drawingml/2006/main">
                <a:solidFill>
                  <a:srgbClr val="FAFAF8"/>
                </a:solidFill>
                <a:prstDash val="solid"/>
              </a:ln>
            </spPr>
          </dPt>
          <cat>
            <numRef>
              <f>'Financeiro'!$AN$2:$AN$6</f>
            </numRef>
          </cat>
          <val>
            <numRef>
              <f>'Financeiro'!$AO$2:$AO$6</f>
            </numRef>
          </val>
        </ser>
        <firstSliceAng val="0"/>
        <holeSize val="55"/>
      </doughnutChart>
    </plotArea>
    <legend>
      <legendPos val="r"/>
    </legend>
    <plotVisOnly val="1"/>
    <dispBlanksAs val="gap"/>
  </chart>
  <spPr>
    <a:ln xmlns:a="http://schemas.openxmlformats.org/drawingml/2006/main">
      <a:solidFill>
        <a:srgbClr val="E8E8E8"/>
      </a:solidFill>
      <a:prstDash val="solid"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0" i="0">
                <a:solidFill>
                  <a:srgbClr val="3B3B3B"/>
                </a:solidFill>
                <a:latin typeface="Prata"/>
              </a:defRPr>
            </a:pPr>
            <a:r>
              <a:rPr sz="1100" b="0" i="0">
                <a:solidFill>
                  <a:srgbClr val="3B3B3B"/>
                </a:solidFill>
                <a:latin typeface="Prata"/>
              </a:rPr>
              <a:t>Aniversariantes por mês</a:t>
            </a:r>
          </a:p>
        </rich>
      </tx>
      <overlay val="0"/>
    </title>
    <plotArea>
      <doughnutChart>
        <varyColors val="1"/>
        <ser>
          <idx val="0"/>
          <order val="0"/>
          <tx>
            <strRef>
              <f>'Aniversariantes'!AC1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E07A5F"/>
              </a:solidFill>
              <a:ln xmlns:a="http://schemas.openxmlformats.org/drawingml/2006/main">
                <a:solidFill>
                  <a:srgbClr val="FAFAF8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2A65A"/>
              </a:solidFill>
              <a:ln xmlns:a="http://schemas.openxmlformats.org/drawingml/2006/main">
                <a:solidFill>
                  <a:srgbClr val="FAFAF8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2C14E"/>
              </a:solidFill>
              <a:ln xmlns:a="http://schemas.openxmlformats.org/drawingml/2006/main">
                <a:solidFill>
                  <a:srgbClr val="FAFAF8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B8C77A"/>
              </a:solidFill>
              <a:ln xmlns:a="http://schemas.openxmlformats.org/drawingml/2006/main">
                <a:solidFill>
                  <a:srgbClr val="FAFAF8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5A1E2A"/>
              </a:solidFill>
              <a:ln xmlns:a="http://schemas.openxmlformats.org/drawingml/2006/main">
                <a:solidFill>
                  <a:srgbClr val="FAFAF8"/>
                </a:solidFill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5C9EAD"/>
              </a:solidFill>
              <a:ln xmlns:a="http://schemas.openxmlformats.org/drawingml/2006/main">
                <a:solidFill>
                  <a:srgbClr val="FAFAF8"/>
                </a:solidFill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4B6EAF"/>
              </a:solidFill>
              <a:ln xmlns:a="http://schemas.openxmlformats.org/drawingml/2006/main">
                <a:solidFill>
                  <a:srgbClr val="FAFAF8"/>
                </a:solidFill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8E7DBE"/>
              </a:solidFill>
              <a:ln xmlns:a="http://schemas.openxmlformats.org/drawingml/2006/main">
                <a:solidFill>
                  <a:srgbClr val="FAFAF8"/>
                </a:solidFill>
                <a:prstDash val="solid"/>
              </a:ln>
            </spPr>
          </dPt>
          <dPt>
            <idx val="8"/>
            <spPr>
              <a:solidFill xmlns:a="http://schemas.openxmlformats.org/drawingml/2006/main">
                <a:srgbClr val="B25A85"/>
              </a:solidFill>
              <a:ln xmlns:a="http://schemas.openxmlformats.org/drawingml/2006/main">
                <a:solidFill>
                  <a:srgbClr val="FAFAF8"/>
                </a:solidFill>
                <a:prstDash val="solid"/>
              </a:ln>
            </spPr>
          </dPt>
          <dPt>
            <idx val="9"/>
            <spPr>
              <a:solidFill xmlns:a="http://schemas.openxmlformats.org/drawingml/2006/main">
                <a:srgbClr val="5A1E2A"/>
              </a:solidFill>
              <a:ln xmlns:a="http://schemas.openxmlformats.org/drawingml/2006/main">
                <a:solidFill>
                  <a:srgbClr val="FAFAF8"/>
                </a:solidFill>
                <a:prstDash val="solid"/>
              </a:ln>
            </spPr>
          </dPt>
          <dPt>
            <idx val="10"/>
            <spPr>
              <a:solidFill xmlns:a="http://schemas.openxmlformats.org/drawingml/2006/main">
                <a:srgbClr val="C26F5A"/>
              </a:solidFill>
              <a:ln xmlns:a="http://schemas.openxmlformats.org/drawingml/2006/main">
                <a:solidFill>
                  <a:srgbClr val="FAFAF8"/>
                </a:solidFill>
                <a:prstDash val="solid"/>
              </a:ln>
            </spPr>
          </dPt>
          <dPt>
            <idx val="11"/>
            <spPr>
              <a:solidFill xmlns:a="http://schemas.openxmlformats.org/drawingml/2006/main">
                <a:srgbClr val="8D9F3F"/>
              </a:solidFill>
              <a:ln xmlns:a="http://schemas.openxmlformats.org/drawingml/2006/main">
                <a:solidFill>
                  <a:srgbClr val="FAFAF8"/>
                </a:solidFill>
                <a:prstDash val="solid"/>
              </a:ln>
            </spPr>
          </dPt>
          <cat>
            <numRef>
              <f>'Aniversariantes'!$AB$2:$AB$13</f>
            </numRef>
          </cat>
          <val>
            <numRef>
              <f>'Aniversariantes'!$AC$2:$AC$13</f>
            </numRef>
          </val>
        </ser>
        <firstSliceAng val="0"/>
        <holeSize val="55"/>
      </doughnutChart>
    </plotArea>
    <legend>
      <legendPos val="r"/>
    </legend>
    <plotVisOnly val="1"/>
    <dispBlanksAs val="gap"/>
  </chart>
  <spPr>
    <a:ln xmlns:a="http://schemas.openxmlformats.org/drawingml/2006/main">
      <a:solidFill>
        <a:srgbClr val="E8E8E8"/>
      </a:solidFill>
      <a:prstDash val="solid"/>
    </a:ln>
  </spPr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0" i="0">
                <a:solidFill>
                  <a:srgbClr val="3B3B3B"/>
                </a:solidFill>
                <a:latin typeface="Prata"/>
              </a:defRPr>
            </a:pPr>
            <a:r>
              <a:rPr sz="1100" b="0" i="0">
                <a:solidFill>
                  <a:srgbClr val="3B3B3B"/>
                </a:solidFill>
                <a:latin typeface="Prata"/>
              </a:rPr>
              <a:t>Evolução da receita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'Relatórios'!AC1</f>
            </strRef>
          </tx>
          <spPr>
            <a:solidFill xmlns:a="http://schemas.openxmlformats.org/drawingml/2006/main">
              <a:srgbClr val="5A1E2A"/>
            </a:solidFill>
            <a:ln xmlns:a="http://schemas.openxmlformats.org/drawingml/2006/main">
              <a:solidFill>
                <a:srgbClr val="5A1E2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'Relatórios'!$AB$2:$AB$13</f>
            </numRef>
          </cat>
          <val>
            <numRef>
              <f>'Relatórios'!$AC$2:$AC$13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3B3B3B"/>
                </a:solidFill>
                <a:latin typeface="Inter"/>
              </a:defRPr>
            </a:pPr>
            <a:r>
              <a:t/>
            </a:r>
            <a:endParaRPr sz="800">
              <a:solidFill>
                <a:srgbClr val="3B3B3B"/>
              </a:solidFill>
              <a:latin typeface="Inter"/>
            </a:endParaRPr>
          </a:p>
        </txPr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3B3B3B"/>
                </a:solidFill>
                <a:latin typeface="Inter"/>
              </a:defRPr>
            </a:pPr>
            <a:r>
              <a:t/>
            </a:r>
            <a:endParaRPr sz="800">
              <a:solidFill>
                <a:srgbClr val="3B3B3B"/>
              </a:solidFill>
              <a:latin typeface="Inter"/>
            </a:endParaRPr>
          </a:p>
        </txPr>
        <crossAx val="10"/>
      </valAx>
    </plotArea>
    <plotVisOnly val="1"/>
    <dispBlanksAs val="gap"/>
  </chart>
  <spPr>
    <a:ln xmlns:a="http://schemas.openxmlformats.org/drawingml/2006/main">
      <a:solidFill>
        <a:srgbClr val="E8E8E8"/>
      </a:solidFill>
      <a:prstDash val="solid"/>
    </a:ln>
  </spPr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0" i="0">
                <a:solidFill>
                  <a:srgbClr val="3B3B3B"/>
                </a:solidFill>
                <a:latin typeface="Prata"/>
              </a:defRPr>
            </a:pPr>
            <a:r>
              <a:rPr sz="1100" b="0" i="0">
                <a:solidFill>
                  <a:srgbClr val="3B3B3B"/>
                </a:solidFill>
                <a:latin typeface="Prata"/>
              </a:rPr>
              <a:t>Atendimentos por mês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'Relatórios'!AF1</f>
            </strRef>
          </tx>
          <spPr>
            <a:solidFill xmlns:a="http://schemas.openxmlformats.org/drawingml/2006/main">
              <a:srgbClr val="5A1E2A"/>
            </a:solidFill>
            <a:ln xmlns:a="http://schemas.openxmlformats.org/drawingml/2006/main">
              <a:solidFill>
                <a:srgbClr val="5A1E2A"/>
              </a:solidFill>
              <a:prstDash val="solid"/>
            </a:ln>
          </spPr>
          <cat>
            <numRef>
              <f>'Relatórios'!$AE$2:$AE$7</f>
            </numRef>
          </cat>
          <val>
            <numRef>
              <f>'Relatórios'!$AF$2:$AF$7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3B3B3B"/>
                </a:solidFill>
                <a:latin typeface="Inter"/>
              </a:defRPr>
            </a:pPr>
            <a:r>
              <a:t/>
            </a:r>
            <a:endParaRPr sz="800">
              <a:solidFill>
                <a:srgbClr val="3B3B3B"/>
              </a:solidFill>
              <a:latin typeface="Inter"/>
            </a:endParaRPr>
          </a:p>
        </txPr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800">
                <a:solidFill>
                  <a:srgbClr val="3B3B3B"/>
                </a:solidFill>
                <a:latin typeface="Inter"/>
              </a:defRPr>
            </a:pPr>
            <a:r>
              <a:t/>
            </a:r>
            <a:endParaRPr sz="800">
              <a:solidFill>
                <a:srgbClr val="3B3B3B"/>
              </a:solidFill>
              <a:latin typeface="Inter"/>
            </a:endParaRPr>
          </a:p>
        </txPr>
        <crossAx val="10"/>
      </valAx>
    </plotArea>
    <plotVisOnly val="1"/>
    <dispBlanksAs val="gap"/>
  </chart>
  <spPr>
    <a:ln xmlns:a="http://schemas.openxmlformats.org/drawingml/2006/main">
      <a:solidFill>
        <a:srgbClr val="E8E8E8"/>
      </a:solidFill>
      <a:prstDash val="solid"/>
    </a:ln>
  </spPr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0" i="0">
                <a:solidFill>
                  <a:srgbClr val="3B3B3B"/>
                </a:solidFill>
                <a:latin typeface="Prata"/>
              </a:defRPr>
            </a:pPr>
            <a:r>
              <a:rPr sz="1100" b="0" i="0">
                <a:solidFill>
                  <a:srgbClr val="3B3B3B"/>
                </a:solidFill>
                <a:latin typeface="Prata"/>
              </a:rPr>
              <a:t>Receita por convênio</a:t>
            </a:r>
          </a:p>
        </rich>
      </tx>
      <overlay val="0"/>
    </title>
    <plotArea>
      <doughnutChart>
        <varyColors val="1"/>
        <ser>
          <idx val="0"/>
          <order val="0"/>
          <tx>
            <strRef>
              <f>'Relatórios'!AI1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5A1E2A"/>
              </a:solidFill>
              <a:ln xmlns:a="http://schemas.openxmlformats.org/drawingml/2006/main">
                <a:solidFill>
                  <a:srgbClr val="FAFAF8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9A86A"/>
              </a:solidFill>
              <a:ln xmlns:a="http://schemas.openxmlformats.org/drawingml/2006/main">
                <a:solidFill>
                  <a:srgbClr val="FAFAF8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6E8E6E"/>
              </a:solidFill>
              <a:ln xmlns:a="http://schemas.openxmlformats.org/drawingml/2006/main">
                <a:solidFill>
                  <a:srgbClr val="FAFAF8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C0805E"/>
              </a:solidFill>
              <a:ln xmlns:a="http://schemas.openxmlformats.org/drawingml/2006/main">
                <a:solidFill>
                  <a:srgbClr val="FAFAF8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7E8AA8"/>
              </a:solidFill>
              <a:ln xmlns:a="http://schemas.openxmlformats.org/drawingml/2006/main">
                <a:solidFill>
                  <a:srgbClr val="FAFAF8"/>
                </a:solidFill>
                <a:prstDash val="solid"/>
              </a:ln>
            </spPr>
          </dPt>
          <cat>
            <numRef>
              <f>'Relatórios'!$AH$2:$AH$6</f>
            </numRef>
          </cat>
          <val>
            <numRef>
              <f>'Relatórios'!$AI$2:$AI$6</f>
            </numRef>
          </val>
        </ser>
        <firstSliceAng val="0"/>
        <holeSize val="55"/>
      </doughnutChart>
    </plotArea>
    <legend>
      <legendPos val="r"/>
    </legend>
    <plotVisOnly val="1"/>
    <dispBlanksAs val="gap"/>
  </chart>
  <spPr>
    <a:ln xmlns:a="http://schemas.openxmlformats.org/drawingml/2006/main">
      <a:solidFill>
        <a:srgbClr val="E8E8E8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image" Target="/xl/media/image2.png" Id="rId6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image" Target="/xl/media/image5.png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Relationship Type="http://schemas.openxmlformats.org/officeDocument/2006/relationships/chart" Target="/xl/charts/chart9.xml" Id="rId3"/><Relationship Type="http://schemas.openxmlformats.org/officeDocument/2006/relationships/image" Target="/xl/media/image6.png" Id="rId4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0</row>
      <rowOff>0</rowOff>
    </from>
    <ext cx="247650" cy="247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77</row>
      <rowOff>0</rowOff>
    </from>
    <ext cx="324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77</row>
      <rowOff>0</rowOff>
    </from>
    <ext cx="3240000" cy="21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77</row>
      <rowOff>0</rowOff>
    </from>
    <ext cx="3240000" cy="21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</col>
      <colOff>0</colOff>
      <row>95</row>
      <rowOff>0</rowOff>
    </from>
    <ext cx="3240000" cy="21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5</col>
      <colOff>0</colOff>
      <row>95</row>
      <rowOff>0</rowOff>
    </from>
    <ext cx="3240000" cy="216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0</row>
      <rowOff>0</rowOff>
    </from>
    <ext cx="247650" cy="2476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18</col>
      <colOff>0</colOff>
      <row>0</row>
      <rowOff>0</rowOff>
    </from>
    <ext cx="247650" cy="247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9</col>
      <colOff>0</colOff>
      <row>0</row>
      <rowOff>0</rowOff>
    </from>
    <ext cx="247650" cy="247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9</col>
      <colOff>0</colOff>
      <row>7</row>
      <rowOff>0</rowOff>
    </from>
    <ext cx="46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0</row>
      <rowOff>0</rowOff>
    </from>
    <ext cx="247650" cy="2476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1</col>
      <colOff>0</colOff>
      <row>15</row>
      <rowOff>0</rowOff>
    </from>
    <ext cx="324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15</row>
      <rowOff>0</rowOff>
    </from>
    <ext cx="3240000" cy="21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15</row>
      <rowOff>0</rowOff>
    </from>
    <ext cx="3240000" cy="21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13</col>
      <colOff>0</colOff>
      <row>0</row>
      <rowOff>0</rowOff>
    </from>
    <ext cx="247650" cy="2476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2</col>
      <colOff>0</colOff>
      <row>0</row>
      <rowOff>0</rowOff>
    </from>
    <ext cx="247650" cy="247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sheet1.xml><?xml version="1.0" encoding="utf-8"?>
<worksheet xmlns="http://schemas.openxmlformats.org/spreadsheetml/2006/main">
  <sheetPr>
    <tabColor rgb="005A1E2A"/>
    <outlinePr summaryBelow="1" summaryRight="1"/>
    <pageSetUpPr fitToPage="1"/>
  </sheetPr>
  <dimension ref="A1:L24"/>
  <sheetViews>
    <sheetView showGridLines="0" showRowColHeaders="0" zoomScale="10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2" customWidth="1" min="3" max="3"/>
    <col width="22" customWidth="1" min="4" max="4"/>
    <col width="4" customWidth="1" min="5" max="5"/>
    <col width="22" customWidth="1" min="6" max="6"/>
    <col width="22" customWidth="1" min="7" max="7"/>
    <col width="22" customWidth="1" min="8" max="8"/>
    <col width="4" customWidth="1" min="9" max="9"/>
    <col width="26" customWidth="1" min="10" max="10"/>
    <col width="26" customWidth="1" min="11" max="11"/>
    <col width="3" customWidth="1" min="12" max="12"/>
  </cols>
  <sheetData>
    <row r="1" ht="30" customHeight="1">
      <c r="A1" s="1" t="n"/>
      <c r="B1" s="2" t="inlineStr">
        <is>
          <t>PSI PLANNER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56" customHeight="1">
      <c r="A2" s="3" t="n"/>
      <c r="B2" s="4" t="inlineStr">
        <is>
          <t>CLÍNICA VITA</t>
        </is>
      </c>
      <c r="C2" s="3" t="n"/>
      <c r="D2" s="3" t="n"/>
      <c r="E2" s="3" t="n"/>
      <c r="F2" s="3" t="n"/>
      <c r="G2" s="3" t="n"/>
      <c r="H2" s="3" t="n"/>
      <c r="I2" s="3" t="n"/>
      <c r="J2" s="5">
        <f>TODAY()</f>
        <v/>
      </c>
      <c r="K2" s="3" t="n"/>
      <c r="L2" s="3" t="n"/>
    </row>
    <row r="3" ht="22" customHeight="1">
      <c r="A3" s="6" t="n"/>
      <c r="B3" s="7" t="inlineStr">
        <is>
          <t>Cuidado em saúde mental com presença e excelência</t>
        </is>
      </c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</row>
    <row r="4" ht="14" customHeight="1">
      <c r="A4" s="6" t="n"/>
      <c r="B4" s="8" t="n"/>
      <c r="C4" s="8" t="n"/>
      <c r="D4" s="8" t="n"/>
      <c r="E4" s="8" t="n"/>
      <c r="F4" s="8" t="n"/>
      <c r="G4" s="8" t="n"/>
      <c r="H4" s="8" t="n"/>
      <c r="I4" s="6" t="n"/>
      <c r="J4" s="6" t="n"/>
      <c r="K4" s="6" t="n"/>
      <c r="L4" s="6" t="n"/>
    </row>
    <row r="5" ht="22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9" t="inlineStr">
        <is>
          <t>AVISOS</t>
        </is>
      </c>
      <c r="K5" s="6" t="n"/>
      <c r="L5" s="6" t="n"/>
    </row>
    <row r="6" ht="24" customHeight="1">
      <c r="A6" s="6" t="n"/>
      <c r="B6" s="10" t="inlineStr">
        <is>
          <t>Total de pacientes ativos</t>
        </is>
      </c>
      <c r="C6" s="10" t="inlineStr">
        <is>
          <t>Receita do mês</t>
        </is>
      </c>
      <c r="D6" s="10" t="inlineStr">
        <is>
          <t>Valor pendente</t>
        </is>
      </c>
      <c r="E6" s="6" t="n"/>
      <c r="F6" s="10" t="inlineStr">
        <is>
          <t>Próxima consulta</t>
        </is>
      </c>
      <c r="G6" s="10" t="inlineStr">
        <is>
          <t>Faltas do mês</t>
        </is>
      </c>
      <c r="H6" s="10" t="inlineStr">
        <is>
          <t>Aniversariantes do mês</t>
        </is>
      </c>
      <c r="I6" s="11" t="inlineStr">
        <is>
          <t>•</t>
        </is>
      </c>
      <c r="J6" s="12">
        <f>TEXT(SUMPRODUCT((PAC_UltimaSessao&lt;&gt;"")*(PAC_UltimaSessao&lt;(TODAY()-30))),"0")&amp;" paciente(s) sem sessão há 30+ dias"</f>
        <v/>
      </c>
      <c r="K6" s="6" t="n"/>
      <c r="L6" s="6" t="n"/>
    </row>
    <row r="7" ht="46" customHeight="1">
      <c r="A7" s="6" t="n"/>
      <c r="B7" s="13">
        <f>COUNTIF(PAC_Status,"Ativo")</f>
        <v/>
      </c>
      <c r="C7" s="14">
        <f>SUMIFS(FIN_Valor,FIN_Status,"Pago",FIN_Data,"&gt;="&amp;DATE(YEAR(TODAY()),MONTH(TODAY()),1),FIN_Data,"&lt;="&amp;EOMONTH(TODAY(),0))</f>
        <v/>
      </c>
      <c r="D7" s="15">
        <f>SUMIF(FIN_Status,"Pendente",FIN_Valor)</f>
        <v/>
      </c>
      <c r="E7" s="6" t="n"/>
      <c r="F7" s="16">
        <f>IF(SUMPRODUCT((CAL_LogData&lt;&gt;"")*(CAL_LogData&gt;=TODAY()))=0,"—",TEXT(MIN('Calendário'!$AB$100:$AB$160),"dd/mm"))</f>
        <v/>
      </c>
      <c r="G7" s="13">
        <f>COUNTIF(CAL_LogStatus,"Faltou")</f>
        <v/>
      </c>
      <c r="H7" s="13">
        <f>SUMPRODUCT((ANIV_Nasc&lt;&gt;"")*(MONTH(ANIV_Nasc)=MONTH(TODAY())))</f>
        <v/>
      </c>
      <c r="I7" s="6" t="n"/>
      <c r="J7" s="17" t="n"/>
      <c r="K7" s="17" t="n"/>
      <c r="L7" s="6" t="n"/>
    </row>
    <row r="8" ht="10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 ht="22" customHeight="1">
      <c r="A9" s="6" t="n"/>
      <c r="B9" s="6" t="n"/>
      <c r="C9" s="6" t="n"/>
      <c r="D9" s="6" t="n"/>
      <c r="E9" s="6" t="n"/>
      <c r="F9" s="6" t="n"/>
      <c r="G9" s="6" t="n"/>
      <c r="H9" s="6" t="n"/>
      <c r="I9" s="11" t="inlineStr">
        <is>
          <t>•</t>
        </is>
      </c>
      <c r="J9" s="12">
        <f>IF(MEI_Faturamento&gt;=72900,"Crítico: ",IF(MEI_Faturamento&gt;=56700,"Atenção: ",""))&amp;"Faturamento R$ "&amp;FIXED(MEI_Faturamento,0)&amp;" / teto MEI R$ 81.000"</f>
        <v/>
      </c>
      <c r="K9" s="6" t="n"/>
      <c r="L9" s="6" t="n"/>
    </row>
    <row r="10" ht="24" customHeight="1">
      <c r="A10" s="6" t="n"/>
      <c r="B10" s="18" t="inlineStr">
        <is>
          <t>ACESSO RÁPIDO</t>
        </is>
      </c>
      <c r="C10" s="6" t="n"/>
      <c r="D10" s="6" t="n"/>
      <c r="E10" s="6" t="n"/>
      <c r="F10" s="6" t="n"/>
      <c r="G10" s="6" t="n"/>
      <c r="H10" s="6" t="n"/>
      <c r="I10" s="6" t="n"/>
      <c r="J10" s="17" t="n"/>
      <c r="K10" s="17" t="n"/>
      <c r="L10" s="6" t="n"/>
    </row>
    <row r="11" ht="54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11" t="inlineStr">
        <is>
          <t>•</t>
        </is>
      </c>
      <c r="J11" s="12">
        <f>TEXT(COUNTIF(FIN_Status,"Pendente"),"0")&amp;" pagamento(s) pendente(s) — R$ "&amp;FIXED(SUMIF(FIN_Status,"Pendente",FIN_Valor),2)</f>
        <v/>
      </c>
      <c r="K11" s="6" t="n"/>
      <c r="L11" s="6" t="n"/>
    </row>
    <row r="12" ht="14" customHeight="1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17" t="n"/>
      <c r="K12" s="17" t="n"/>
      <c r="L12" s="6" t="n"/>
    </row>
    <row r="13" ht="54" customHeight="1">
      <c r="A13" s="6" t="n"/>
      <c r="B13" s="6" t="n"/>
      <c r="C13" s="6" t="n"/>
      <c r="D13" s="6" t="n"/>
      <c r="E13" s="6" t="n"/>
      <c r="F13" s="6" t="n"/>
      <c r="G13" s="6" t="n"/>
      <c r="H13" s="6" t="n"/>
      <c r="I13" s="11" t="inlineStr">
        <is>
          <t>•</t>
        </is>
      </c>
      <c r="J13" s="12">
        <f>TEXT(SUMPRODUCT((ANIV_Nasc&lt;&gt;"")*(TEXT(ANIV_Nasc,"MM-DD")&gt;=TEXT(TODAY(),"MM-DD"))*(TEXT(ANIV_Nasc,"MM-DD")&lt;=TEXT(TODAY()+7,"MM-DD"))),"0")&amp;" aniversariante(s) nos próximos 7 dias"</f>
        <v/>
      </c>
      <c r="K13" s="6" t="n"/>
      <c r="L13" s="6" t="n"/>
    </row>
    <row r="14" ht="12" customHeight="1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17" t="n"/>
      <c r="K14" s="17" t="n"/>
      <c r="L14" s="6" t="n"/>
    </row>
    <row r="15" ht="8" customHeight="1">
      <c r="A15" s="6" t="n"/>
      <c r="B15" s="6" t="n"/>
      <c r="C15" s="6" t="n"/>
      <c r="D15" s="6" t="n"/>
      <c r="E15" s="6" t="n"/>
      <c r="F15" s="6" t="n"/>
      <c r="G15" s="6" t="n"/>
      <c r="H15" s="6" t="n"/>
      <c r="I15" s="19" t="n"/>
      <c r="J15" s="20" t="inlineStr"/>
      <c r="K15" s="19" t="n"/>
      <c r="L15" s="19" t="n"/>
    </row>
    <row r="16" ht="8" customHeight="1">
      <c r="A16" s="6" t="n"/>
      <c r="B16" s="6" t="n"/>
      <c r="C16" s="6" t="n"/>
      <c r="D16" s="6" t="n"/>
      <c r="E16" s="6" t="n"/>
      <c r="F16" s="6" t="n"/>
      <c r="G16" s="6" t="n"/>
      <c r="H16" s="6" t="n"/>
      <c r="I16" s="19" t="n"/>
      <c r="J16" s="19" t="n"/>
      <c r="K16" s="19" t="n"/>
      <c r="L16" s="19" t="n"/>
    </row>
    <row r="17" ht="8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19" t="n"/>
      <c r="J17" s="19" t="n"/>
      <c r="K17" s="19" t="n"/>
      <c r="L17" s="19" t="n"/>
    </row>
    <row r="18" ht="8" customHeight="1">
      <c r="A18" s="6" t="n"/>
      <c r="B18" s="6" t="n"/>
      <c r="C18" s="6" t="n"/>
      <c r="D18" s="6" t="n"/>
      <c r="E18" s="6" t="n"/>
      <c r="F18" s="6" t="n"/>
      <c r="G18" s="6" t="n"/>
      <c r="H18" s="6" t="n"/>
      <c r="I18" s="19" t="n"/>
      <c r="J18" s="19" t="n"/>
      <c r="K18" s="19" t="n"/>
      <c r="L18" s="19" t="n"/>
    </row>
    <row r="19" ht="8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19" t="n"/>
      <c r="J19" s="19" t="n"/>
      <c r="K19" s="19" t="n"/>
      <c r="L19" s="19" t="n"/>
    </row>
    <row r="20" ht="8" customHeight="1">
      <c r="A20" s="6" t="n"/>
      <c r="B20" s="6" t="n"/>
      <c r="C20" s="6" t="n"/>
      <c r="D20" s="6" t="n"/>
      <c r="E20" s="6" t="n"/>
      <c r="F20" s="6" t="n"/>
      <c r="G20" s="6" t="n"/>
      <c r="H20" s="6" t="n"/>
      <c r="I20" s="19" t="n"/>
      <c r="J20" s="19" t="n"/>
      <c r="K20" s="19" t="n"/>
      <c r="L20" s="19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</row>
  </sheetData>
  <mergeCells count="14">
    <mergeCell ref="J9:K10"/>
    <mergeCell ref="J5:K5"/>
    <mergeCell ref="J2:K2"/>
    <mergeCell ref="J6:K7"/>
    <mergeCell ref="H6"/>
    <mergeCell ref="D6"/>
    <mergeCell ref="B6"/>
    <mergeCell ref="C6"/>
    <mergeCell ref="B3:E3"/>
    <mergeCell ref="B2:E2"/>
    <mergeCell ref="J11:K12"/>
    <mergeCell ref="F6"/>
    <mergeCell ref="J13:K14"/>
    <mergeCell ref="G6"/>
  </mergeCells>
  <pageMargins left="0.4" right="0.4" top="0.5" bottom="0.5" header="0.2" footer="0.2"/>
  <pageSetup orientation="landscape" fitToHeight="0" fitToWidth="1"/>
  <headerFooter>
    <oddHeader/>
    <oddFooter>&amp;L&amp;8 &amp;K3B3B3BPsi Planner&amp;C&amp;8 &amp;K3B3B3BClínica Vita&amp;R&amp;8 &amp;K3B3B3B&amp;P /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3B3B3B"/>
    <outlinePr summaryBelow="1" summaryRight="1"/>
    <pageSetUpPr fitToPage="1"/>
  </sheetPr>
  <dimension ref="A1:AO118"/>
  <sheetViews>
    <sheetView showGridLines="0" showRowColHeaders="0" zoomScale="100" workbookViewId="0">
      <pane xSplit="1" ySplit="6" topLeftCell="B7" activePane="bottomRight" state="frozen"/>
      <selection pane="topRight" activeCell="A1" sqref="A1"/>
      <selection pane="bottomLeft"/>
      <selection pane="bottomRight" activeCell="A1" sqref="A1"/>
    </sheetView>
  </sheetViews>
  <sheetFormatPr baseColWidth="8" defaultRowHeight="15"/>
  <cols>
    <col width="3" customWidth="1" min="1" max="1"/>
    <col width="13" customWidth="1" min="2" max="2"/>
    <col width="26" customWidth="1" min="3" max="3"/>
    <col width="16" customWidth="1" min="4" max="4"/>
    <col width="16" customWidth="1" min="5" max="5"/>
    <col width="14" customWidth="1" min="6" max="6"/>
    <col width="14" customWidth="1" min="7" max="7"/>
    <col width="8" customWidth="1" min="8" max="8"/>
    <col width="14" customWidth="1" min="9" max="9"/>
    <col width="32" customWidth="1" min="10" max="10"/>
    <col width="3" customWidth="1" min="11" max="11"/>
    <col width="24" customWidth="1" min="12" max="12"/>
    <col width="22" customWidth="1" min="13" max="13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</cols>
  <sheetData>
    <row r="1" ht="3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AB1" t="inlineStr">
        <is>
          <t>Mês</t>
        </is>
      </c>
      <c r="AC1" t="inlineStr">
        <is>
          <t>Receita</t>
        </is>
      </c>
      <c r="AE1" t="inlineStr">
        <is>
          <t>Tipo</t>
        </is>
      </c>
      <c r="AF1" t="inlineStr">
        <is>
          <t>Valor</t>
        </is>
      </c>
      <c r="AH1" t="inlineStr">
        <is>
          <t>Situação</t>
        </is>
      </c>
      <c r="AI1" t="inlineStr">
        <is>
          <t>Valor</t>
        </is>
      </c>
      <c r="AK1" t="inlineStr">
        <is>
          <t>Mês</t>
        </is>
      </c>
      <c r="AL1" t="inlineStr">
        <is>
          <t>Acumulado</t>
        </is>
      </c>
      <c r="AN1" t="inlineStr">
        <is>
          <t>Forma</t>
        </is>
      </c>
      <c r="AO1" t="inlineStr">
        <is>
          <t>Valor</t>
        </is>
      </c>
    </row>
    <row r="2" ht="50" customHeight="1">
      <c r="A2" s="3" t="n"/>
      <c r="B2" s="21" t="inlineStr">
        <is>
          <t>FINANCEIRO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AB2" t="inlineStr">
        <is>
          <t>Jan</t>
        </is>
      </c>
      <c r="AC2">
        <f>SUMIFS(FIN_Valor,FIN_Status,"Pago",FIN_Data,"&gt;="&amp;DATE(YEAR(TODAY()),1,1),FIN_Data,"&lt;="&amp;EOMONTH(DATE(YEAR(TODAY()),1,1),0))</f>
        <v/>
      </c>
      <c r="AE2" t="inlineStr">
        <is>
          <t>Receita</t>
        </is>
      </c>
      <c r="AF2">
        <f>M6</f>
        <v/>
      </c>
      <c r="AH2" t="inlineStr">
        <is>
          <t>Pago</t>
        </is>
      </c>
      <c r="AI2">
        <f>M6</f>
        <v/>
      </c>
      <c r="AK2" t="inlineStr">
        <is>
          <t>Jan</t>
        </is>
      </c>
      <c r="AL2">
        <f>AC2</f>
        <v/>
      </c>
      <c r="AN2" t="inlineStr">
        <is>
          <t>Pix</t>
        </is>
      </c>
      <c r="AO2">
        <f>SUMIF(FIN_Forma,"Pix",FIN_Valor)</f>
        <v/>
      </c>
    </row>
    <row r="3" ht="14" customHeight="1">
      <c r="A3" s="6" t="n"/>
      <c r="B3" s="7" t="inlineStr">
        <is>
          <t>Lançamentos, recebimentos e indicadores</t>
        </is>
      </c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AB3" t="inlineStr">
        <is>
          <t>Fev</t>
        </is>
      </c>
      <c r="AC3">
        <f>SUMIFS(FIN_Valor,FIN_Status,"Pago",FIN_Data,"&gt;="&amp;DATE(YEAR(TODAY()),2,1),FIN_Data,"&lt;="&amp;EOMONTH(DATE(YEAR(TODAY()),2,1),0))</f>
        <v/>
      </c>
      <c r="AE3" t="inlineStr">
        <is>
          <t>Despesa</t>
        </is>
      </c>
      <c r="AF3">
        <f>SUM(DESP_Valor)</f>
        <v/>
      </c>
      <c r="AH3" t="inlineStr">
        <is>
          <t>Pendente</t>
        </is>
      </c>
      <c r="AI3">
        <f>M7</f>
        <v/>
      </c>
      <c r="AK3" t="inlineStr">
        <is>
          <t>Fev</t>
        </is>
      </c>
      <c r="AL3">
        <f>AL2+AC3</f>
        <v/>
      </c>
      <c r="AN3" t="inlineStr">
        <is>
          <t>Dinheiro</t>
        </is>
      </c>
      <c r="AO3">
        <f>SUMIF(FIN_Forma,"Dinheiro",FIN_Valor)</f>
        <v/>
      </c>
    </row>
    <row r="4" ht="22" customHeight="1">
      <c r="A4" s="6" t="n"/>
      <c r="B4" s="18" t="inlineStr">
        <is>
          <t>LANÇAMENTOS</t>
        </is>
      </c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18" t="inlineStr">
        <is>
          <t>INDICADORES</t>
        </is>
      </c>
      <c r="M4" s="6" t="n"/>
      <c r="N4" s="6" t="n"/>
      <c r="AB4" t="inlineStr">
        <is>
          <t>Mar</t>
        </is>
      </c>
      <c r="AC4">
        <f>SUMIFS(FIN_Valor,FIN_Status,"Pago",FIN_Data,"&gt;="&amp;DATE(YEAR(TODAY()),3,1),FIN_Data,"&lt;="&amp;EOMONTH(DATE(YEAR(TODAY()),3,1),0))</f>
        <v/>
      </c>
      <c r="AK4" t="inlineStr">
        <is>
          <t>Mar</t>
        </is>
      </c>
      <c r="AL4">
        <f>AL3+AC4</f>
        <v/>
      </c>
      <c r="AN4" t="inlineStr">
        <is>
          <t>Cartão</t>
        </is>
      </c>
      <c r="AO4">
        <f>SUMIF(FIN_Forma,"Cartão",FIN_Valor)</f>
        <v/>
      </c>
    </row>
    <row r="5" ht="14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AB5" t="inlineStr">
        <is>
          <t>Abr</t>
        </is>
      </c>
      <c r="AC5">
        <f>SUMIFS(FIN_Valor,FIN_Status,"Pago",FIN_Data,"&gt;="&amp;DATE(YEAR(TODAY()),4,1),FIN_Data,"&lt;="&amp;EOMONTH(DATE(YEAR(TODAY()),4,1),0))</f>
        <v/>
      </c>
      <c r="AK5" t="inlineStr">
        <is>
          <t>Abr</t>
        </is>
      </c>
      <c r="AL5">
        <f>AL4+AC5</f>
        <v/>
      </c>
      <c r="AN5" t="inlineStr">
        <is>
          <t>Convênio</t>
        </is>
      </c>
      <c r="AO5">
        <f>SUMIF(FIN_Forma,"Convênio",FIN_Valor)</f>
        <v/>
      </c>
    </row>
    <row r="6" ht="28" customHeight="1">
      <c r="A6" s="6" t="n"/>
      <c r="B6" s="22" t="inlineStr">
        <is>
          <t>Data</t>
        </is>
      </c>
      <c r="C6" s="23" t="inlineStr">
        <is>
          <t>Paciente</t>
        </is>
      </c>
      <c r="D6" s="22" t="inlineStr">
        <is>
          <t>Tipo</t>
        </is>
      </c>
      <c r="E6" s="22" t="inlineStr">
        <is>
          <t>Forma Pgto</t>
        </is>
      </c>
      <c r="F6" s="24" t="inlineStr">
        <is>
          <t>Valor</t>
        </is>
      </c>
      <c r="G6" s="22" t="inlineStr">
        <is>
          <t>Status</t>
        </is>
      </c>
      <c r="H6" s="22" t="inlineStr">
        <is>
          <t>NF</t>
        </is>
      </c>
      <c r="I6" s="22" t="inlineStr">
        <is>
          <t>Nº NF</t>
        </is>
      </c>
      <c r="J6" s="23" t="inlineStr">
        <is>
          <t>Observações</t>
        </is>
      </c>
      <c r="K6" s="6" t="n"/>
      <c r="L6" s="25" t="inlineStr">
        <is>
          <t>Total recebido</t>
        </is>
      </c>
      <c r="M6" s="26">
        <f>SUMIF(FIN_Status,"Pago",FIN_Valor)</f>
        <v/>
      </c>
      <c r="N6" s="6" t="n"/>
      <c r="AB6" t="inlineStr">
        <is>
          <t>Mai</t>
        </is>
      </c>
      <c r="AC6">
        <f>SUMIFS(FIN_Valor,FIN_Status,"Pago",FIN_Data,"&gt;="&amp;DATE(YEAR(TODAY()),5,1),FIN_Data,"&lt;="&amp;EOMONTH(DATE(YEAR(TODAY()),5,1),0))</f>
        <v/>
      </c>
      <c r="AK6" t="inlineStr">
        <is>
          <t>Mai</t>
        </is>
      </c>
      <c r="AL6">
        <f>AL5+AC6</f>
        <v/>
      </c>
      <c r="AN6" t="inlineStr">
        <is>
          <t>Boleto</t>
        </is>
      </c>
      <c r="AO6">
        <f>SUMIF(FIN_Forma,"Boleto",FIN_Valor)</f>
        <v/>
      </c>
    </row>
    <row r="7" ht="20" customHeight="1">
      <c r="A7" s="6" t="n"/>
      <c r="B7" s="27" t="n">
        <v>46042</v>
      </c>
      <c r="C7" s="28" t="inlineStr">
        <is>
          <t>Ana Beatriz Souza</t>
        </is>
      </c>
      <c r="D7" s="29" t="inlineStr">
        <is>
          <t>Sessão presencial</t>
        </is>
      </c>
      <c r="E7" s="29" t="inlineStr">
        <is>
          <t>Pix</t>
        </is>
      </c>
      <c r="F7" s="30" t="n">
        <v>180</v>
      </c>
      <c r="G7" s="29" t="inlineStr">
        <is>
          <t>Pago</t>
        </is>
      </c>
      <c r="H7" s="29" t="inlineStr">
        <is>
          <t>Emitida</t>
        </is>
      </c>
      <c r="I7" s="29" t="inlineStr">
        <is>
          <t>2026-091</t>
        </is>
      </c>
      <c r="J7" s="28" t="inlineStr">
        <is>
          <t>Recibo Receita Saúde</t>
        </is>
      </c>
      <c r="K7" s="6" t="n"/>
      <c r="L7" s="25" t="inlineStr">
        <is>
          <t>Total pendente</t>
        </is>
      </c>
      <c r="M7" s="31">
        <f>SUMIF(FIN_Status,"Pendente",FIN_Valor)</f>
        <v/>
      </c>
      <c r="N7" s="6" t="n"/>
      <c r="AB7" t="inlineStr">
        <is>
          <t>Jun</t>
        </is>
      </c>
      <c r="AC7">
        <f>SUMIFS(FIN_Valor,FIN_Status,"Pago",FIN_Data,"&gt;="&amp;DATE(YEAR(TODAY()),6,1),FIN_Data,"&lt;="&amp;EOMONTH(DATE(YEAR(TODAY()),6,1),0))</f>
        <v/>
      </c>
      <c r="AK7" t="inlineStr">
        <is>
          <t>Jun</t>
        </is>
      </c>
      <c r="AL7">
        <f>AL6+AC7</f>
        <v/>
      </c>
    </row>
    <row r="8" ht="20" customHeight="1">
      <c r="A8" s="6" t="n"/>
      <c r="B8" s="27" t="n">
        <v>46071</v>
      </c>
      <c r="C8" s="28" t="inlineStr">
        <is>
          <t>Bruno Carvalho</t>
        </is>
      </c>
      <c r="D8" s="29" t="inlineStr">
        <is>
          <t>Sessão online</t>
        </is>
      </c>
      <c r="E8" s="29" t="inlineStr">
        <is>
          <t>Cartão</t>
        </is>
      </c>
      <c r="F8" s="30" t="n">
        <v>180</v>
      </c>
      <c r="G8" s="29" t="inlineStr">
        <is>
          <t>Pago</t>
        </is>
      </c>
      <c r="H8" s="29" t="inlineStr">
        <is>
          <t>Emitida</t>
        </is>
      </c>
      <c r="I8" s="29" t="inlineStr">
        <is>
          <t>2026-098</t>
        </is>
      </c>
      <c r="J8" s="28" t="inlineStr"/>
      <c r="K8" s="6" t="n"/>
      <c r="L8" s="25" t="inlineStr">
        <is>
          <t>Lucro líquido</t>
        </is>
      </c>
      <c r="M8" s="26">
        <f>M6-SUM(DESP_Valor)</f>
        <v/>
      </c>
      <c r="N8" s="6" t="n"/>
      <c r="AB8" t="inlineStr">
        <is>
          <t>Jul</t>
        </is>
      </c>
      <c r="AC8">
        <f>SUMIFS(FIN_Valor,FIN_Status,"Pago",FIN_Data,"&gt;="&amp;DATE(YEAR(TODAY()),7,1),FIN_Data,"&lt;="&amp;EOMONTH(DATE(YEAR(TODAY()),7,1),0))</f>
        <v/>
      </c>
      <c r="AK8" t="inlineStr">
        <is>
          <t>Jul</t>
        </is>
      </c>
      <c r="AL8">
        <f>AL7+AC8</f>
        <v/>
      </c>
    </row>
    <row r="9" ht="20" customHeight="1">
      <c r="A9" s="6" t="n"/>
      <c r="B9" s="27" t="n">
        <v>46098</v>
      </c>
      <c r="C9" s="28" t="inlineStr">
        <is>
          <t>Camila Diniz</t>
        </is>
      </c>
      <c r="D9" s="29" t="inlineStr">
        <is>
          <t>Sessão presencial</t>
        </is>
      </c>
      <c r="E9" s="29" t="inlineStr">
        <is>
          <t>Dinheiro</t>
        </is>
      </c>
      <c r="F9" s="30" t="n">
        <v>150</v>
      </c>
      <c r="G9" s="29" t="inlineStr">
        <is>
          <t>Pago</t>
        </is>
      </c>
      <c r="H9" s="29" t="inlineStr">
        <is>
          <t>Não emitida</t>
        </is>
      </c>
      <c r="I9" s="29" t="inlineStr"/>
      <c r="J9" s="28" t="inlineStr">
        <is>
          <t>Pagamento em espécie</t>
        </is>
      </c>
      <c r="K9" s="6" t="n"/>
      <c r="L9" s="25" t="inlineStr">
        <is>
          <t>% inadimplência</t>
        </is>
      </c>
      <c r="M9" s="32">
        <f>IFERROR(M7/(M6+M7),0)</f>
        <v/>
      </c>
      <c r="N9" s="6" t="n"/>
      <c r="AB9" t="inlineStr">
        <is>
          <t>Ago</t>
        </is>
      </c>
      <c r="AC9">
        <f>SUMIFS(FIN_Valor,FIN_Status,"Pago",FIN_Data,"&gt;="&amp;DATE(YEAR(TODAY()),8,1),FIN_Data,"&lt;="&amp;EOMONTH(DATE(YEAR(TODAY()),8,1),0))</f>
        <v/>
      </c>
      <c r="AK9" t="inlineStr">
        <is>
          <t>Ago</t>
        </is>
      </c>
      <c r="AL9">
        <f>AL8+AC9</f>
        <v/>
      </c>
    </row>
    <row r="10" ht="20" customHeight="1">
      <c r="A10" s="6" t="n"/>
      <c r="B10" s="27" t="n">
        <v>46126</v>
      </c>
      <c r="C10" s="28" t="inlineStr">
        <is>
          <t>Eduarda Faria</t>
        </is>
      </c>
      <c r="D10" s="29" t="inlineStr">
        <is>
          <t>Sessão online</t>
        </is>
      </c>
      <c r="E10" s="29" t="inlineStr">
        <is>
          <t>Pix</t>
        </is>
      </c>
      <c r="F10" s="30" t="n">
        <v>180</v>
      </c>
      <c r="G10" s="29" t="inlineStr">
        <is>
          <t>Pago</t>
        </is>
      </c>
      <c r="H10" s="29" t="inlineStr">
        <is>
          <t>Emitida</t>
        </is>
      </c>
      <c r="I10" s="29" t="inlineStr">
        <is>
          <t>2026-110</t>
        </is>
      </c>
      <c r="J10" s="28" t="inlineStr"/>
      <c r="K10" s="6" t="n"/>
      <c r="L10" s="25" t="inlineStr">
        <is>
          <t>Indicador MEI</t>
        </is>
      </c>
      <c r="M10" s="33">
        <f>IF(MEI_Faturamento&gt;=72900,"Crítico (90%)",IF(MEI_Faturamento&gt;=56700,"Atenção (70%)","Dentro do limite"))</f>
        <v/>
      </c>
      <c r="N10" s="6" t="n"/>
      <c r="AB10" t="inlineStr">
        <is>
          <t>Set</t>
        </is>
      </c>
      <c r="AC10">
        <f>SUMIFS(FIN_Valor,FIN_Status,"Pago",FIN_Data,"&gt;="&amp;DATE(YEAR(TODAY()),9,1),FIN_Data,"&lt;="&amp;EOMONTH(DATE(YEAR(TODAY()),9,1),0))</f>
        <v/>
      </c>
      <c r="AK10" t="inlineStr">
        <is>
          <t>Set</t>
        </is>
      </c>
      <c r="AL10">
        <f>AL9+AC10</f>
        <v/>
      </c>
    </row>
    <row r="11" ht="20" customHeight="1">
      <c r="A11" s="6" t="n"/>
      <c r="B11" s="27" t="n">
        <v>46127</v>
      </c>
      <c r="C11" s="28" t="inlineStr">
        <is>
          <t>Diego Esteves</t>
        </is>
      </c>
      <c r="D11" s="29" t="inlineStr">
        <is>
          <t>Sessão presencial</t>
        </is>
      </c>
      <c r="E11" s="29" t="inlineStr">
        <is>
          <t>Pix</t>
        </is>
      </c>
      <c r="F11" s="30" t="n">
        <v>180</v>
      </c>
      <c r="G11" s="29" t="inlineStr">
        <is>
          <t>Cancelado</t>
        </is>
      </c>
      <c r="H11" s="29" t="inlineStr">
        <is>
          <t>Não emitida</t>
        </is>
      </c>
      <c r="I11" s="29" t="inlineStr"/>
      <c r="J11" s="28" t="inlineStr">
        <is>
          <t>Cancelou 24h antes</t>
        </is>
      </c>
      <c r="K11" s="6" t="n"/>
      <c r="L11" s="34" t="inlineStr">
        <is>
          <t>Faturamento anual</t>
        </is>
      </c>
      <c r="M11" s="35">
        <f>SUMIFS(FIN_Valor,FIN_Status,"Pago",FIN_Data,"&gt;="&amp;DATE(YEAR(TODAY()),1,1),FIN_Data,"&lt;="&amp;DATE(YEAR(TODAY()),12,31))</f>
        <v/>
      </c>
      <c r="N11" s="6" t="n"/>
      <c r="AB11" t="inlineStr">
        <is>
          <t>Out</t>
        </is>
      </c>
      <c r="AC11">
        <f>SUMIFS(FIN_Valor,FIN_Status,"Pago",FIN_Data,"&gt;="&amp;DATE(YEAR(TODAY()),10,1),FIN_Data,"&lt;="&amp;EOMONTH(DATE(YEAR(TODAY()),10,1),0))</f>
        <v/>
      </c>
      <c r="AK11" t="inlineStr">
        <is>
          <t>Out</t>
        </is>
      </c>
      <c r="AL11">
        <f>AL10+AC11</f>
        <v/>
      </c>
    </row>
    <row r="12" ht="20" customHeight="1">
      <c r="A12" s="6" t="n"/>
      <c r="B12" s="27" t="n">
        <v>46146</v>
      </c>
      <c r="C12" s="28" t="inlineStr">
        <is>
          <t>Ana Beatriz Souza</t>
        </is>
      </c>
      <c r="D12" s="29" t="inlineStr">
        <is>
          <t>Sessão presencial</t>
        </is>
      </c>
      <c r="E12" s="29" t="inlineStr">
        <is>
          <t>Pix</t>
        </is>
      </c>
      <c r="F12" s="30" t="n">
        <v>180</v>
      </c>
      <c r="G12" s="29" t="inlineStr">
        <is>
          <t>Pago</t>
        </is>
      </c>
      <c r="H12" s="29" t="inlineStr">
        <is>
          <t>Emitida</t>
        </is>
      </c>
      <c r="I12" s="29" t="inlineStr">
        <is>
          <t>2026-121</t>
        </is>
      </c>
      <c r="J12" s="28" t="inlineStr">
        <is>
          <t>Recibo Receita Saúde</t>
        </is>
      </c>
      <c r="K12" s="6" t="n"/>
      <c r="L12" s="6" t="n"/>
      <c r="M12" s="6" t="n"/>
      <c r="N12" s="6" t="n"/>
      <c r="AB12" t="inlineStr">
        <is>
          <t>Nov</t>
        </is>
      </c>
      <c r="AC12">
        <f>SUMIFS(FIN_Valor,FIN_Status,"Pago",FIN_Data,"&gt;="&amp;DATE(YEAR(TODAY()),11,1),FIN_Data,"&lt;="&amp;EOMONTH(DATE(YEAR(TODAY()),11,1),0))</f>
        <v/>
      </c>
      <c r="AK12" t="inlineStr">
        <is>
          <t>Nov</t>
        </is>
      </c>
      <c r="AL12">
        <f>AL11+AC12</f>
        <v/>
      </c>
    </row>
    <row r="13" ht="20" customHeight="1">
      <c r="A13" s="6" t="n"/>
      <c r="B13" s="27" t="n">
        <v>46148</v>
      </c>
      <c r="C13" s="28" t="inlineStr">
        <is>
          <t>Bruno Carvalho</t>
        </is>
      </c>
      <c r="D13" s="29" t="inlineStr">
        <is>
          <t>Sessão online</t>
        </is>
      </c>
      <c r="E13" s="29" t="inlineStr">
        <is>
          <t>Cartão</t>
        </is>
      </c>
      <c r="F13" s="30" t="n">
        <v>180</v>
      </c>
      <c r="G13" s="29" t="inlineStr">
        <is>
          <t>Pago</t>
        </is>
      </c>
      <c r="H13" s="29" t="inlineStr">
        <is>
          <t>Emitida</t>
        </is>
      </c>
      <c r="I13" s="29" t="inlineStr">
        <is>
          <t>2026-122</t>
        </is>
      </c>
      <c r="J13" s="28" t="inlineStr"/>
      <c r="K13" s="6" t="n"/>
      <c r="L13" s="6" t="n"/>
      <c r="M13" s="6" t="n"/>
      <c r="N13" s="6" t="n"/>
      <c r="AB13" t="inlineStr">
        <is>
          <t>Dez</t>
        </is>
      </c>
      <c r="AC13">
        <f>SUMIFS(FIN_Valor,FIN_Status,"Pago",FIN_Data,"&gt;="&amp;DATE(YEAR(TODAY()),12,1),FIN_Data,"&lt;="&amp;EOMONTH(DATE(YEAR(TODAY()),12,1),0))</f>
        <v/>
      </c>
      <c r="AK13" t="inlineStr">
        <is>
          <t>Dez</t>
        </is>
      </c>
      <c r="AL13">
        <f>AL12+AC13</f>
        <v/>
      </c>
    </row>
    <row r="14" ht="20" customHeight="1">
      <c r="A14" s="6" t="n"/>
      <c r="B14" s="27" t="n">
        <v>46153</v>
      </c>
      <c r="C14" s="28" t="inlineStr">
        <is>
          <t>Camila Diniz</t>
        </is>
      </c>
      <c r="D14" s="29" t="inlineStr">
        <is>
          <t>Sessão presencial</t>
        </is>
      </c>
      <c r="E14" s="29" t="inlineStr">
        <is>
          <t>Dinheiro</t>
        </is>
      </c>
      <c r="F14" s="30" t="n">
        <v>150</v>
      </c>
      <c r="G14" s="29" t="inlineStr">
        <is>
          <t>Pago</t>
        </is>
      </c>
      <c r="H14" s="29" t="inlineStr">
        <is>
          <t>Não emitida</t>
        </is>
      </c>
      <c r="I14" s="29" t="inlineStr"/>
      <c r="J14" s="28" t="inlineStr">
        <is>
          <t>Pagamento em espécie</t>
        </is>
      </c>
      <c r="K14" s="6" t="n"/>
      <c r="L14" s="6" t="n"/>
      <c r="M14" s="6" t="n"/>
      <c r="N14" s="6" t="n"/>
    </row>
    <row r="15" ht="20" customHeight="1">
      <c r="A15" s="6" t="n"/>
      <c r="B15" s="27" t="n">
        <v>46155</v>
      </c>
      <c r="C15" s="28" t="inlineStr">
        <is>
          <t>Diego Esteves</t>
        </is>
      </c>
      <c r="D15" s="29" t="inlineStr">
        <is>
          <t>Sessão presencial</t>
        </is>
      </c>
      <c r="E15" s="29" t="inlineStr">
        <is>
          <t>Pix</t>
        </is>
      </c>
      <c r="F15" s="30" t="n">
        <v>200</v>
      </c>
      <c r="G15" s="29" t="inlineStr">
        <is>
          <t>Pendente</t>
        </is>
      </c>
      <c r="H15" s="29" t="inlineStr">
        <is>
          <t>Não emitida</t>
        </is>
      </c>
      <c r="I15" s="29" t="inlineStr"/>
      <c r="J15" s="28" t="inlineStr">
        <is>
          <t>Aguardando confirmação</t>
        </is>
      </c>
      <c r="K15" s="6" t="n"/>
      <c r="L15" s="6" t="n"/>
      <c r="M15" s="6" t="n"/>
      <c r="N15" s="6" t="n"/>
    </row>
    <row r="16" ht="20" customHeight="1">
      <c r="A16" s="6" t="n"/>
      <c r="B16" s="27" t="n">
        <v>46160</v>
      </c>
      <c r="C16" s="28" t="inlineStr">
        <is>
          <t>Eduarda Faria</t>
        </is>
      </c>
      <c r="D16" s="29" t="inlineStr">
        <is>
          <t>Sessão online</t>
        </is>
      </c>
      <c r="E16" s="29" t="inlineStr">
        <is>
          <t>Pix</t>
        </is>
      </c>
      <c r="F16" s="30" t="n">
        <v>180</v>
      </c>
      <c r="G16" s="29" t="inlineStr">
        <is>
          <t>Pago</t>
        </is>
      </c>
      <c r="H16" s="29" t="inlineStr">
        <is>
          <t>Emitida</t>
        </is>
      </c>
      <c r="I16" s="29" t="inlineStr">
        <is>
          <t>2026-123</t>
        </is>
      </c>
      <c r="J16" s="28" t="inlineStr"/>
      <c r="K16" s="6" t="n"/>
      <c r="L16" s="6" t="n"/>
      <c r="M16" s="6" t="n"/>
      <c r="N16" s="6" t="n"/>
    </row>
    <row r="17" ht="20" customHeight="1">
      <c r="A17" s="6" t="n"/>
      <c r="B17" s="27" t="n">
        <v>46162</v>
      </c>
      <c r="C17" s="28" t="inlineStr">
        <is>
          <t>Kris Fellipe</t>
        </is>
      </c>
      <c r="D17" s="29" t="inlineStr">
        <is>
          <t>Sessão presencial</t>
        </is>
      </c>
      <c r="E17" s="29" t="inlineStr">
        <is>
          <t>Convênio</t>
        </is>
      </c>
      <c r="F17" s="30" t="n">
        <v>150</v>
      </c>
      <c r="G17" s="29" t="inlineStr">
        <is>
          <t>Pendente</t>
        </is>
      </c>
      <c r="H17" s="29" t="inlineStr">
        <is>
          <t>Não emitida</t>
        </is>
      </c>
      <c r="I17" s="29" t="inlineStr"/>
      <c r="J17" s="28" t="inlineStr">
        <is>
          <t>Faturamento convênio</t>
        </is>
      </c>
      <c r="K17" s="6" t="n"/>
      <c r="L17" s="6" t="n"/>
      <c r="M17" s="6" t="n"/>
      <c r="N17" s="6" t="n"/>
    </row>
    <row r="18" ht="20" customHeight="1">
      <c r="A18" s="6" t="n"/>
      <c r="B18" s="27" t="n">
        <v>46164</v>
      </c>
      <c r="C18" s="28" t="inlineStr">
        <is>
          <t>Fernando Gomes</t>
        </is>
      </c>
      <c r="D18" s="29" t="inlineStr">
        <is>
          <t>Sessão presencial</t>
        </is>
      </c>
      <c r="E18" s="29" t="inlineStr">
        <is>
          <t>Cartão</t>
        </is>
      </c>
      <c r="F18" s="30" t="n">
        <v>180</v>
      </c>
      <c r="G18" s="29" t="inlineStr">
        <is>
          <t>Pago</t>
        </is>
      </c>
      <c r="H18" s="29" t="inlineStr">
        <is>
          <t>Emitida</t>
        </is>
      </c>
      <c r="I18" s="29" t="inlineStr">
        <is>
          <t>2026-124</t>
        </is>
      </c>
      <c r="J18" s="28" t="inlineStr"/>
      <c r="K18" s="6" t="n"/>
      <c r="L18" s="6" t="n"/>
      <c r="M18" s="6" t="n"/>
      <c r="N18" s="6" t="n"/>
    </row>
    <row r="19" ht="20" customHeight="1">
      <c r="A19" s="6" t="n"/>
      <c r="B19" s="27" t="n">
        <v>46167</v>
      </c>
      <c r="C19" s="28" t="inlineStr">
        <is>
          <t>Gabriela Hoffmann</t>
        </is>
      </c>
      <c r="D19" s="29" t="inlineStr">
        <is>
          <t>Sessão online</t>
        </is>
      </c>
      <c r="E19" s="29" t="inlineStr">
        <is>
          <t>Pix</t>
        </is>
      </c>
      <c r="F19" s="30" t="n">
        <v>180</v>
      </c>
      <c r="G19" s="29" t="inlineStr">
        <is>
          <t>Lembrete</t>
        </is>
      </c>
      <c r="H19" s="29" t="inlineStr">
        <is>
          <t>Não emitida</t>
        </is>
      </c>
      <c r="I19" s="29" t="inlineStr"/>
      <c r="J19" s="28" t="inlineStr">
        <is>
          <t>Lembrete WhatsApp enviado</t>
        </is>
      </c>
      <c r="K19" s="6" t="n"/>
      <c r="L19" s="6" t="n"/>
      <c r="M19" s="6" t="n"/>
      <c r="N19" s="6" t="n"/>
    </row>
    <row r="20" ht="20" customHeight="1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</row>
    <row r="21" ht="20" customHeight="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</row>
    <row r="22" ht="20" customHeight="1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</row>
    <row r="23" ht="20" customHeight="1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</row>
    <row r="24" ht="20" customHeight="1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 ht="20" customHeight="1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</row>
    <row r="26" ht="20" customHeight="1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</row>
    <row r="27" ht="20" customHeight="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</row>
    <row r="28" ht="20" customHeight="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</row>
    <row r="29" ht="20" customHeight="1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</row>
    <row r="30" ht="20" customHeight="1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</row>
    <row r="31" ht="20" customHeight="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</row>
    <row r="32" ht="20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</row>
    <row r="33" ht="20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</row>
    <row r="34" ht="20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</row>
    <row r="35" ht="20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</row>
    <row r="36" ht="20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</row>
    <row r="37" ht="20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</row>
    <row r="38" ht="20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</row>
    <row r="39" ht="20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</row>
    <row r="40" ht="20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</row>
    <row r="41" ht="20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</row>
    <row r="42" ht="20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</row>
    <row r="43" ht="20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</row>
    <row r="44" ht="20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</row>
    <row r="45" ht="20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</row>
    <row r="46" ht="20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</row>
    <row r="47" ht="20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</row>
    <row r="48" ht="20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</row>
    <row r="49" ht="20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</row>
    <row r="50" ht="20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</row>
    <row r="51" ht="20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</row>
    <row r="52" ht="20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</row>
    <row r="53" ht="20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</row>
    <row r="54" ht="20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</row>
    <row r="55" ht="20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</row>
    <row r="56" ht="20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</row>
    <row r="57" ht="14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</row>
    <row r="58" ht="22" customHeight="1">
      <c r="A58" s="6" t="n"/>
      <c r="B58" s="18" t="inlineStr">
        <is>
          <t>DESPESAS</t>
        </is>
      </c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</row>
    <row r="59" ht="14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</row>
    <row r="60" ht="24" customHeight="1">
      <c r="A60" s="6" t="n"/>
      <c r="B60" s="22" t="inlineStr">
        <is>
          <t>Data</t>
        </is>
      </c>
      <c r="C60" s="23" t="inlineStr">
        <is>
          <t>Categoria</t>
        </is>
      </c>
      <c r="D60" s="23" t="inlineStr">
        <is>
          <t>Descrição</t>
        </is>
      </c>
      <c r="E60" s="24" t="inlineStr">
        <is>
          <t>Valor</t>
        </is>
      </c>
      <c r="F60" s="22" t="inlineStr">
        <is>
          <t>Forma</t>
        </is>
      </c>
      <c r="G60" s="6" t="n"/>
      <c r="H60" s="6" t="n"/>
      <c r="I60" s="6" t="n"/>
      <c r="J60" s="6" t="n"/>
      <c r="K60" s="6" t="n"/>
      <c r="L60" s="6" t="n"/>
      <c r="M60" s="6" t="n"/>
      <c r="N60" s="6" t="n"/>
    </row>
    <row r="61" ht="20" customHeight="1">
      <c r="A61" s="6" t="n"/>
      <c r="B61" s="27" t="n">
        <v>46144</v>
      </c>
      <c r="C61" s="28" t="inlineStr">
        <is>
          <t>Plataforma online</t>
        </is>
      </c>
      <c r="D61" s="28" t="inlineStr">
        <is>
          <t>Assinatura Psi Planner Pro</t>
        </is>
      </c>
      <c r="E61" s="30" t="n">
        <v>99</v>
      </c>
      <c r="F61" s="29" t="inlineStr">
        <is>
          <t>Cartão</t>
        </is>
      </c>
      <c r="G61" s="6" t="n"/>
      <c r="H61" s="6" t="n"/>
      <c r="I61" s="6" t="n"/>
      <c r="J61" s="6" t="n"/>
      <c r="K61" s="6" t="n"/>
      <c r="L61" s="6" t="n"/>
      <c r="M61" s="6" t="n"/>
      <c r="N61" s="6" t="n"/>
    </row>
    <row r="62" ht="20" customHeight="1">
      <c r="A62" s="6" t="n"/>
      <c r="B62" s="27" t="n">
        <v>46145</v>
      </c>
      <c r="C62" s="28" t="inlineStr">
        <is>
          <t>Internet</t>
        </is>
      </c>
      <c r="D62" s="28" t="inlineStr">
        <is>
          <t>Banda larga + WhatsApp Business</t>
        </is>
      </c>
      <c r="E62" s="30" t="n">
        <v>110</v>
      </c>
      <c r="F62" s="29" t="inlineStr">
        <is>
          <t>Boleto</t>
        </is>
      </c>
      <c r="G62" s="6" t="n"/>
      <c r="H62" s="6" t="n"/>
      <c r="I62" s="6" t="n"/>
      <c r="J62" s="6" t="n"/>
      <c r="K62" s="6" t="n"/>
      <c r="L62" s="6" t="n"/>
      <c r="M62" s="6" t="n"/>
      <c r="N62" s="6" t="n"/>
    </row>
    <row r="63" ht="20" customHeight="1">
      <c r="A63" s="6" t="n"/>
      <c r="B63" s="27" t="n">
        <v>46147</v>
      </c>
      <c r="C63" s="28" t="inlineStr">
        <is>
          <t>Aluguel</t>
        </is>
      </c>
      <c r="D63" s="28" t="inlineStr">
        <is>
          <t>Sala em coworking clínico</t>
        </is>
      </c>
      <c r="E63" s="30" t="n">
        <v>600</v>
      </c>
      <c r="F63" s="29" t="inlineStr">
        <is>
          <t>Pix</t>
        </is>
      </c>
      <c r="G63" s="6" t="n"/>
      <c r="H63" s="6" t="n"/>
      <c r="I63" s="6" t="n"/>
      <c r="J63" s="6" t="n"/>
      <c r="K63" s="6" t="n"/>
      <c r="L63" s="6" t="n"/>
      <c r="M63" s="6" t="n"/>
      <c r="N63" s="6" t="n"/>
    </row>
    <row r="64" ht="20" customHeight="1">
      <c r="A64" s="6" t="n"/>
      <c r="B64" s="27" t="n">
        <v>46150</v>
      </c>
      <c r="C64" s="28" t="inlineStr">
        <is>
          <t>Supervisão</t>
        </is>
      </c>
      <c r="D64" s="28" t="inlineStr">
        <is>
          <t>Supervisão clínica mensal</t>
        </is>
      </c>
      <c r="E64" s="30" t="n">
        <v>300</v>
      </c>
      <c r="F64" s="29" t="inlineStr">
        <is>
          <t>Pix</t>
        </is>
      </c>
      <c r="G64" s="6" t="n"/>
      <c r="H64" s="6" t="n"/>
      <c r="I64" s="6" t="n"/>
      <c r="J64" s="6" t="n"/>
      <c r="K64" s="6" t="n"/>
      <c r="L64" s="6" t="n"/>
      <c r="M64" s="6" t="n"/>
      <c r="N64" s="6" t="n"/>
    </row>
    <row r="65" ht="20" customHeight="1">
      <c r="A65" s="6" t="n"/>
      <c r="B65" s="27" t="n">
        <v>46152</v>
      </c>
      <c r="C65" s="28" t="inlineStr">
        <is>
          <t>Marketing</t>
        </is>
      </c>
      <c r="D65" s="28" t="inlineStr">
        <is>
          <t>Google Ads + Instagram</t>
        </is>
      </c>
      <c r="E65" s="30" t="n">
        <v>150</v>
      </c>
      <c r="F65" s="29" t="inlineStr">
        <is>
          <t>Cartão</t>
        </is>
      </c>
      <c r="G65" s="6" t="n"/>
      <c r="H65" s="6" t="n"/>
      <c r="I65" s="6" t="n"/>
      <c r="J65" s="6" t="n"/>
      <c r="K65" s="6" t="n"/>
      <c r="L65" s="6" t="n"/>
      <c r="M65" s="6" t="n"/>
      <c r="N65" s="6" t="n"/>
    </row>
    <row r="66" ht="20" customHeight="1">
      <c r="A66" s="6" t="n"/>
      <c r="B66" s="27" t="n">
        <v>46154</v>
      </c>
      <c r="C66" s="28" t="inlineStr">
        <is>
          <t>Materiais</t>
        </is>
      </c>
      <c r="D66" s="28" t="inlineStr">
        <is>
          <t>Testes psicométricos e prontuários</t>
        </is>
      </c>
      <c r="E66" s="30" t="n">
        <v>120</v>
      </c>
      <c r="F66" s="29" t="inlineStr">
        <is>
          <t>Pix</t>
        </is>
      </c>
      <c r="G66" s="6" t="n"/>
      <c r="H66" s="6" t="n"/>
      <c r="I66" s="6" t="n"/>
      <c r="J66" s="6" t="n"/>
      <c r="K66" s="6" t="n"/>
      <c r="L66" s="6" t="n"/>
      <c r="M66" s="6" t="n"/>
      <c r="N66" s="6" t="n"/>
    </row>
    <row r="67" ht="20" customHeight="1">
      <c r="A67" s="6" t="n"/>
      <c r="B67" s="27" t="n">
        <v>46157</v>
      </c>
      <c r="C67" s="28" t="inlineStr">
        <is>
          <t>Outros</t>
        </is>
      </c>
      <c r="D67" s="28" t="inlineStr">
        <is>
          <t>Manutenção de equipamentos</t>
        </is>
      </c>
      <c r="E67" s="30" t="n">
        <v>80</v>
      </c>
      <c r="F67" s="29" t="inlineStr">
        <is>
          <t>Dinheiro</t>
        </is>
      </c>
      <c r="G67" s="6" t="n"/>
      <c r="H67" s="6" t="n"/>
      <c r="I67" s="6" t="n"/>
      <c r="J67" s="6" t="n"/>
      <c r="K67" s="6" t="n"/>
      <c r="L67" s="6" t="n"/>
      <c r="M67" s="6" t="n"/>
      <c r="N67" s="6" t="n"/>
    </row>
    <row r="68" ht="20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</row>
    <row r="69" ht="20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</row>
    <row r="70" ht="20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</row>
    <row r="71" ht="20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</row>
    <row r="72" ht="20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</row>
    <row r="73" ht="20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</row>
    <row r="74" ht="20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</row>
    <row r="75" ht="14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</row>
    <row r="76" ht="22" customHeight="1">
      <c r="A76" s="6" t="n"/>
      <c r="B76" s="18" t="inlineStr">
        <is>
          <t>GRÁFICOS</t>
        </is>
      </c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</row>
    <row r="77" ht="14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</row>
    <row r="78" ht="24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</row>
  </sheetData>
  <mergeCells count="3">
    <mergeCell ref="B2:F2"/>
    <mergeCell ref="L4:M4"/>
    <mergeCell ref="B3:F3"/>
  </mergeCells>
  <conditionalFormatting sqref="G7:G56">
    <cfRule type="expression" priority="1" dxfId="0">
      <formula>ISNUMBER(SEARCH("Pago",G7))</formula>
    </cfRule>
    <cfRule type="expression" priority="2" dxfId="1">
      <formula>ISNUMBER(SEARCH("Pendente",G7))</formula>
    </cfRule>
    <cfRule type="expression" priority="3" dxfId="2">
      <formula>ISNUMBER(SEARCH("Lembrete",G7))</formula>
    </cfRule>
    <cfRule type="expression" priority="4" dxfId="1">
      <formula>ISNUMBER(SEARCH("Cancelado",G7))</formula>
    </cfRule>
  </conditionalFormatting>
  <conditionalFormatting sqref="M10">
    <cfRule type="expression" priority="5" dxfId="1" stopIfTrue="1">
      <formula>MEI_Faturamento&gt;=72900</formula>
    </cfRule>
    <cfRule type="expression" priority="6" dxfId="3" stopIfTrue="1">
      <formula>MEI_Faturamento&gt;=56700</formula>
    </cfRule>
  </conditionalFormatting>
  <conditionalFormatting sqref="M9">
    <cfRule type="expression" priority="7" dxfId="4">
      <formula>M9&gt;0.15</formula>
    </cfRule>
  </conditionalFormatting>
  <dataValidations count="6">
    <dataValidation sqref="D7:D56" showDropDown="0" showInputMessage="0" showErrorMessage="0" allowBlank="1" type="list">
      <formula1>"Sessão presencial,Sessão online,Supervisão,Avaliação"</formula1>
    </dataValidation>
    <dataValidation sqref="E7:E56" showDropDown="0" showInputMessage="0" showErrorMessage="0" allowBlank="1" type="list">
      <formula1>"Pix,Dinheiro,Cartão,Convênio,Boleto"</formula1>
    </dataValidation>
    <dataValidation sqref="G7:G56" showDropDown="0" showInputMessage="0" showErrorMessage="0" allowBlank="1" type="list">
      <formula1>"Pago,Pendente,Lembrete,Cancelado"</formula1>
    </dataValidation>
    <dataValidation sqref="H7:H56" showDropDown="0" showInputMessage="0" showErrorMessage="0" allowBlank="1" type="list">
      <formula1>"Emitida,Não emitida"</formula1>
    </dataValidation>
    <dataValidation sqref="C61:C74" showDropDown="0" showInputMessage="0" showErrorMessage="0" allowBlank="1" type="list">
      <formula1>"Aluguel,Supervisão,Marketing,Plataforma online,Materiais,Internet,Outros"</formula1>
    </dataValidation>
    <dataValidation sqref="F61:F74" showDropDown="0" showInputMessage="0" showErrorMessage="0" allowBlank="1" type="list">
      <formula1>"Pix,Dinheiro,Cartão,Convênio,Boleto"</formula1>
    </dataValidation>
  </dataValidations>
  <pageMargins left="0.4" right="0.4" top="0.5" bottom="0.5" header="0.2" footer="0.2"/>
  <pageSetup orientation="landscape" fitToHeight="0" fitToWidth="1"/>
  <headerFooter>
    <oddHeader/>
    <oddFooter>&amp;L&amp;8 &amp;K3B3B3BPsi Planner&amp;C&amp;8 &amp;K3B3B3BClínica Vita&amp;R&amp;8 &amp;K3B3B3B&amp;P /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3B3B3B"/>
    <outlinePr summaryBelow="1" summaryRight="1"/>
    <pageSetUpPr fitToPage="1"/>
  </sheetPr>
  <dimension ref="A1:T58"/>
  <sheetViews>
    <sheetView showGridLines="0" showRowColHeaders="0" zoomScale="100" workbookViewId="0">
      <pane xSplit="1" ySplit="6" topLeftCell="B7" activePane="bottomRight" state="frozen"/>
      <selection pane="topRight" activeCell="A1" sqref="A1"/>
      <selection pane="bottomLeft"/>
      <selection pane="bottomRight"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14" customWidth="1" min="4" max="4"/>
    <col width="13" customWidth="1" min="5" max="5"/>
    <col width="7" customWidth="1" min="6" max="6"/>
    <col width="16" customWidth="1" min="7" max="7"/>
    <col width="26" customWidth="1" min="8" max="8"/>
    <col width="30" customWidth="1" min="9" max="9"/>
    <col width="18" customWidth="1" min="10" max="10"/>
    <col width="16" customWidth="1" min="11" max="11"/>
    <col width="13" customWidth="1" min="12" max="12"/>
    <col width="14" customWidth="1" min="13" max="13"/>
    <col width="14" customWidth="1" min="14" max="14"/>
    <col width="14" customWidth="1" min="15" max="15"/>
    <col width="16" customWidth="1" min="16" max="16"/>
    <col width="13" customWidth="1" min="17" max="17"/>
    <col width="10" customWidth="1" min="18" max="18"/>
    <col width="14" customWidth="1" min="19" max="19"/>
    <col width="16" customWidth="1" min="20" max="20"/>
  </cols>
  <sheetData>
    <row r="1" ht="3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50" customHeight="1">
      <c r="A2" s="3" t="n"/>
      <c r="B2" s="21" t="inlineStr">
        <is>
          <t>PACIENTES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</row>
    <row r="3" ht="14" customHeight="1">
      <c r="A3" s="6" t="n"/>
      <c r="B3" s="7" t="inlineStr">
        <is>
          <t>Cadastro e acompanhamento clínico</t>
        </is>
      </c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</row>
    <row r="4" ht="14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</row>
    <row r="5" ht="14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</row>
    <row r="6" ht="28" customHeight="1">
      <c r="A6" s="6" t="n"/>
      <c r="B6" s="23" t="inlineStr">
        <is>
          <t>Nome</t>
        </is>
      </c>
      <c r="C6" s="22" t="inlineStr">
        <is>
          <t>CPF</t>
        </is>
      </c>
      <c r="D6" s="22" t="inlineStr">
        <is>
          <t>RG</t>
        </is>
      </c>
      <c r="E6" s="22" t="inlineStr">
        <is>
          <t>Nascimento</t>
        </is>
      </c>
      <c r="F6" s="22" t="inlineStr">
        <is>
          <t>Idade</t>
        </is>
      </c>
      <c r="G6" s="22" t="inlineStr">
        <is>
          <t>Telefone</t>
        </is>
      </c>
      <c r="H6" s="23" t="inlineStr">
        <is>
          <t>Email</t>
        </is>
      </c>
      <c r="I6" s="23" t="inlineStr">
        <is>
          <t>Endereço</t>
        </is>
      </c>
      <c r="J6" s="22" t="inlineStr">
        <is>
          <t>Convênio</t>
        </is>
      </c>
      <c r="K6" s="23" t="inlineStr">
        <is>
          <t>Profissão</t>
        </is>
      </c>
      <c r="L6" s="22" t="inlineStr">
        <is>
          <t>Início</t>
        </is>
      </c>
      <c r="M6" s="22" t="inlineStr">
        <is>
          <t>Frequência</t>
        </is>
      </c>
      <c r="N6" s="24" t="inlineStr">
        <is>
          <t>Valor sessão</t>
        </is>
      </c>
      <c r="O6" s="22" t="inlineStr">
        <is>
          <t>Status</t>
        </is>
      </c>
      <c r="P6" s="22" t="inlineStr">
        <is>
          <t>Contratadas</t>
        </is>
      </c>
      <c r="Q6" s="22" t="inlineStr">
        <is>
          <t>Realizadas</t>
        </is>
      </c>
      <c r="R6" s="22" t="inlineStr">
        <is>
          <t>Saldo</t>
        </is>
      </c>
      <c r="S6" s="22" t="inlineStr">
        <is>
          <t>Última sessão</t>
        </is>
      </c>
      <c r="T6" s="24" t="inlineStr">
        <is>
          <t>Total faturado</t>
        </is>
      </c>
    </row>
    <row r="7" ht="20" customHeight="1">
      <c r="A7" s="6" t="n"/>
      <c r="B7" s="28" t="inlineStr">
        <is>
          <t>Ana Beatriz Souza</t>
        </is>
      </c>
      <c r="C7" s="29" t="inlineStr">
        <is>
          <t>111.111.111-11</t>
        </is>
      </c>
      <c r="D7" s="29" t="inlineStr">
        <is>
          <t>11.111.111-1</t>
        </is>
      </c>
      <c r="E7" s="27" t="n">
        <v>32942</v>
      </c>
      <c r="F7" s="29">
        <f>IF(E7="","",DATEDIF(E7,TODAY(),"Y"))</f>
        <v/>
      </c>
      <c r="G7" s="29" t="inlineStr">
        <is>
          <t>(62) 98111-2222</t>
        </is>
      </c>
      <c r="H7" s="28" t="inlineStr">
        <is>
          <t>ana.souza@email.com</t>
        </is>
      </c>
      <c r="I7" s="28" t="inlineStr">
        <is>
          <t>R. das Flores, 120 - Goiânia/GO</t>
        </is>
      </c>
      <c r="J7" s="29" t="inlineStr">
        <is>
          <t>Particular</t>
        </is>
      </c>
      <c r="K7" s="28" t="inlineStr">
        <is>
          <t>Arquiteta</t>
        </is>
      </c>
      <c r="L7" s="27" t="n">
        <v>45915</v>
      </c>
      <c r="M7" s="29" t="inlineStr">
        <is>
          <t>Semanal</t>
        </is>
      </c>
      <c r="N7" s="30" t="n">
        <v>180</v>
      </c>
      <c r="O7" s="29" t="inlineStr">
        <is>
          <t>Ativo</t>
        </is>
      </c>
      <c r="P7" s="29" t="n">
        <v>12</v>
      </c>
      <c r="Q7" s="29" t="n">
        <v>9</v>
      </c>
      <c r="R7" s="29">
        <f>IF(P7="","",P7-Q7)</f>
        <v/>
      </c>
      <c r="S7" s="27" t="n">
        <v>46146</v>
      </c>
      <c r="T7" s="30">
        <f>IF(N7="","",Q7*N7)</f>
        <v/>
      </c>
    </row>
    <row r="8" ht="20" customHeight="1">
      <c r="A8" s="6" t="n"/>
      <c r="B8" s="28" t="inlineStr">
        <is>
          <t>Bruno Carvalho</t>
        </is>
      </c>
      <c r="C8" s="29" t="inlineStr">
        <is>
          <t>222.222.222-22</t>
        </is>
      </c>
      <c r="D8" s="29" t="inlineStr">
        <is>
          <t>22.222.222-2</t>
        </is>
      </c>
      <c r="E8" s="27" t="n">
        <v>32278</v>
      </c>
      <c r="F8" s="29">
        <f>IF(E8="","",DATEDIF(E8,TODAY(),"Y"))</f>
        <v/>
      </c>
      <c r="G8" s="29" t="inlineStr">
        <is>
          <t>(62) 98222-3333</t>
        </is>
      </c>
      <c r="H8" s="28" t="inlineStr">
        <is>
          <t>bruno.c@email.com</t>
        </is>
      </c>
      <c r="I8" s="28" t="inlineStr">
        <is>
          <t>Av. T-63, 800 - Goiânia/GO</t>
        </is>
      </c>
      <c r="J8" s="29" t="inlineStr">
        <is>
          <t>Unimed</t>
        </is>
      </c>
      <c r="K8" s="28" t="inlineStr">
        <is>
          <t>Engenheiro</t>
        </is>
      </c>
      <c r="L8" s="27" t="n">
        <v>45963</v>
      </c>
      <c r="M8" s="29" t="inlineStr">
        <is>
          <t>Semanal</t>
        </is>
      </c>
      <c r="N8" s="30" t="n">
        <v>180</v>
      </c>
      <c r="O8" s="29" t="inlineStr">
        <is>
          <t>Ativo</t>
        </is>
      </c>
      <c r="P8" s="29" t="n">
        <v>10</v>
      </c>
      <c r="Q8" s="29" t="n">
        <v>7</v>
      </c>
      <c r="R8" s="29">
        <f>IF(P8="","",P8-Q8)</f>
        <v/>
      </c>
      <c r="S8" s="27" t="n">
        <v>46148</v>
      </c>
      <c r="T8" s="30">
        <f>IF(N8="","",Q8*N8)</f>
        <v/>
      </c>
    </row>
    <row r="9" ht="20" customHeight="1">
      <c r="A9" s="6" t="n"/>
      <c r="B9" s="28" t="inlineStr">
        <is>
          <t>Camila Diniz</t>
        </is>
      </c>
      <c r="C9" s="29" t="inlineStr">
        <is>
          <t>333.333.333-33</t>
        </is>
      </c>
      <c r="D9" s="29" t="inlineStr">
        <is>
          <t>33.333.333-3</t>
        </is>
      </c>
      <c r="E9" s="27" t="n">
        <v>33752</v>
      </c>
      <c r="F9" s="29">
        <f>IF(E9="","",DATEDIF(E9,TODAY(),"Y"))</f>
        <v/>
      </c>
      <c r="G9" s="29" t="inlineStr">
        <is>
          <t>(62) 98333-4444</t>
        </is>
      </c>
      <c r="H9" s="28" t="inlineStr">
        <is>
          <t>camila.d@email.com</t>
        </is>
      </c>
      <c r="I9" s="28" t="inlineStr">
        <is>
          <t>R. 7, 45 - Anápolis/GO</t>
        </is>
      </c>
      <c r="J9" s="29" t="inlineStr">
        <is>
          <t>Particular</t>
        </is>
      </c>
      <c r="K9" s="28" t="inlineStr">
        <is>
          <t>Professora</t>
        </is>
      </c>
      <c r="L9" s="27" t="n">
        <v>46042</v>
      </c>
      <c r="M9" s="29" t="inlineStr">
        <is>
          <t>Quinzenal</t>
        </is>
      </c>
      <c r="N9" s="30" t="n">
        <v>150</v>
      </c>
      <c r="O9" s="29" t="inlineStr">
        <is>
          <t>Ativo</t>
        </is>
      </c>
      <c r="P9" s="29" t="n">
        <v>8</v>
      </c>
      <c r="Q9" s="29" t="n">
        <v>3</v>
      </c>
      <c r="R9" s="29">
        <f>IF(P9="","",P9-Q9)</f>
        <v/>
      </c>
      <c r="S9" s="27" t="n">
        <v>46153</v>
      </c>
      <c r="T9" s="30">
        <f>IF(N9="","",Q9*N9)</f>
        <v/>
      </c>
    </row>
    <row r="10" ht="20" customHeight="1">
      <c r="A10" s="6" t="n"/>
      <c r="B10" s="28" t="inlineStr">
        <is>
          <t>Diego Esteves</t>
        </is>
      </c>
      <c r="C10" s="29" t="inlineStr">
        <is>
          <t>444.444.444-44</t>
        </is>
      </c>
      <c r="D10" s="29" t="inlineStr">
        <is>
          <t>44.444.444-4</t>
        </is>
      </c>
      <c r="E10" s="27" t="n">
        <v>34888</v>
      </c>
      <c r="F10" s="29">
        <f>IF(E10="","",DATEDIF(E10,TODAY(),"Y"))</f>
        <v/>
      </c>
      <c r="G10" s="29" t="inlineStr">
        <is>
          <t>(62) 98444-5555</t>
        </is>
      </c>
      <c r="H10" s="28" t="inlineStr">
        <is>
          <t>diego.e@email.com</t>
        </is>
      </c>
      <c r="I10" s="28" t="inlineStr">
        <is>
          <t>R. 9, 300 - Goiânia/GO</t>
        </is>
      </c>
      <c r="J10" s="29" t="inlineStr">
        <is>
          <t>Particular</t>
        </is>
      </c>
      <c r="K10" s="28" t="inlineStr">
        <is>
          <t>Designer</t>
        </is>
      </c>
      <c r="L10" s="27" t="n">
        <v>46065</v>
      </c>
      <c r="M10" s="29" t="inlineStr">
        <is>
          <t>Semanal</t>
        </is>
      </c>
      <c r="N10" s="30" t="n">
        <v>200</v>
      </c>
      <c r="O10" s="29" t="inlineStr">
        <is>
          <t>Pausado</t>
        </is>
      </c>
      <c r="P10" s="29" t="n">
        <v>6</v>
      </c>
      <c r="Q10" s="29" t="n">
        <v>4</v>
      </c>
      <c r="R10" s="29">
        <f>IF(P10="","",P10-Q10)</f>
        <v/>
      </c>
      <c r="S10" s="27" t="n">
        <v>46127</v>
      </c>
      <c r="T10" s="30">
        <f>IF(N10="","",Q10*N10)</f>
        <v/>
      </c>
    </row>
    <row r="11" ht="20" customHeight="1">
      <c r="A11" s="6" t="n"/>
      <c r="B11" s="28" t="inlineStr">
        <is>
          <t>Eduarda Faria</t>
        </is>
      </c>
      <c r="C11" s="29" t="inlineStr">
        <is>
          <t>555.555.555-55</t>
        </is>
      </c>
      <c r="D11" s="29" t="inlineStr">
        <is>
          <t>55.555.555-5</t>
        </is>
      </c>
      <c r="E11" s="27" t="n">
        <v>33388</v>
      </c>
      <c r="F11" s="29">
        <f>IF(E11="","",DATEDIF(E11,TODAY(),"Y"))</f>
        <v/>
      </c>
      <c r="G11" s="29" t="inlineStr">
        <is>
          <t>(62) 98555-6666</t>
        </is>
      </c>
      <c r="H11" s="28" t="inlineStr">
        <is>
          <t>edu.faria@email.com</t>
        </is>
      </c>
      <c r="I11" s="28" t="inlineStr">
        <is>
          <t>Av. 85, 1500 - Goiânia/GO</t>
        </is>
      </c>
      <c r="J11" s="29" t="inlineStr">
        <is>
          <t>Bradesco Saúde</t>
        </is>
      </c>
      <c r="K11" s="28" t="inlineStr">
        <is>
          <t>Médica</t>
        </is>
      </c>
      <c r="L11" s="27" t="n">
        <v>45894</v>
      </c>
      <c r="M11" s="29" t="inlineStr">
        <is>
          <t>Semanal</t>
        </is>
      </c>
      <c r="N11" s="30" t="n">
        <v>180</v>
      </c>
      <c r="O11" s="29" t="inlineStr">
        <is>
          <t>Ativo</t>
        </is>
      </c>
      <c r="P11" s="29" t="n">
        <v>20</v>
      </c>
      <c r="Q11" s="29" t="n">
        <v>16</v>
      </c>
      <c r="R11" s="29">
        <f>IF(P11="","",P11-Q11)</f>
        <v/>
      </c>
      <c r="S11" s="27" t="n">
        <v>46160</v>
      </c>
      <c r="T11" s="30">
        <f>IF(N11="","",Q11*N11)</f>
        <v/>
      </c>
    </row>
    <row r="12" ht="20" customHeight="1">
      <c r="A12" s="6" t="n"/>
      <c r="B12" s="28" t="inlineStr">
        <is>
          <t>Fernando Gomes</t>
        </is>
      </c>
      <c r="C12" s="29" t="inlineStr">
        <is>
          <t>666.666.666-66</t>
        </is>
      </c>
      <c r="D12" s="29" t="inlineStr">
        <is>
          <t>66.666.666-6</t>
        </is>
      </c>
      <c r="E12" s="27" t="n">
        <v>32671</v>
      </c>
      <c r="F12" s="29">
        <f>IF(E12="","",DATEDIF(E12,TODAY(),"Y"))</f>
        <v/>
      </c>
      <c r="G12" s="29" t="inlineStr">
        <is>
          <t>(62) 98666-7777</t>
        </is>
      </c>
      <c r="H12" s="28" t="inlineStr">
        <is>
          <t>fer.gomes@email.com</t>
        </is>
      </c>
      <c r="I12" s="28" t="inlineStr">
        <is>
          <t>R. C-140, 22 - Goiânia/GO</t>
        </is>
      </c>
      <c r="J12" s="29" t="inlineStr">
        <is>
          <t>Particular</t>
        </is>
      </c>
      <c r="K12" s="28" t="inlineStr">
        <is>
          <t>Advogado</t>
        </is>
      </c>
      <c r="L12" s="27" t="n">
        <v>45992</v>
      </c>
      <c r="M12" s="29" t="inlineStr">
        <is>
          <t>Quinzenal</t>
        </is>
      </c>
      <c r="N12" s="30" t="n">
        <v>180</v>
      </c>
      <c r="O12" s="29" t="inlineStr">
        <is>
          <t>Ativo</t>
        </is>
      </c>
      <c r="P12" s="29" t="n">
        <v>10</v>
      </c>
      <c r="Q12" s="29" t="n">
        <v>5</v>
      </c>
      <c r="R12" s="29">
        <f>IF(P12="","",P12-Q12)</f>
        <v/>
      </c>
      <c r="S12" s="27" t="n">
        <v>46164</v>
      </c>
      <c r="T12" s="30">
        <f>IF(N12="","",Q12*N12)</f>
        <v/>
      </c>
    </row>
    <row r="13" ht="20" customHeight="1">
      <c r="A13" s="6" t="n"/>
      <c r="B13" s="28" t="inlineStr">
        <is>
          <t>Gabriela Hoffmann</t>
        </is>
      </c>
      <c r="C13" s="29" t="inlineStr">
        <is>
          <t>777.777.777-77</t>
        </is>
      </c>
      <c r="D13" s="29" t="inlineStr">
        <is>
          <t>77.777.777-7</t>
        </is>
      </c>
      <c r="E13" s="27" t="n">
        <v>34602</v>
      </c>
      <c r="F13" s="29">
        <f>IF(E13="","",DATEDIF(E13,TODAY(),"Y"))</f>
        <v/>
      </c>
      <c r="G13" s="29" t="inlineStr">
        <is>
          <t>(62) 98777-8888</t>
        </is>
      </c>
      <c r="H13" s="28" t="inlineStr">
        <is>
          <t>gabi.h@email.com</t>
        </is>
      </c>
      <c r="I13" s="28" t="inlineStr">
        <is>
          <t>R. 1004, 60 - Goiânia/GO</t>
        </is>
      </c>
      <c r="J13" s="29" t="inlineStr">
        <is>
          <t>SulAmérica</t>
        </is>
      </c>
      <c r="K13" s="28" t="inlineStr">
        <is>
          <t>Publicitária</t>
        </is>
      </c>
      <c r="L13" s="27" t="n">
        <v>46084</v>
      </c>
      <c r="M13" s="29" t="inlineStr">
        <is>
          <t>Semanal</t>
        </is>
      </c>
      <c r="N13" s="30" t="n">
        <v>180</v>
      </c>
      <c r="O13" s="29" t="inlineStr">
        <is>
          <t>Ativo</t>
        </is>
      </c>
      <c r="P13" s="29" t="n">
        <v>8</v>
      </c>
      <c r="Q13" s="29" t="n">
        <v>6</v>
      </c>
      <c r="R13" s="29">
        <f>IF(P13="","",P13-Q13)</f>
        <v/>
      </c>
      <c r="S13" s="27" t="n">
        <v>46167</v>
      </c>
      <c r="T13" s="30">
        <f>IF(N13="","",Q13*N13)</f>
        <v/>
      </c>
    </row>
    <row r="14" ht="20" customHeight="1">
      <c r="A14" s="6" t="n"/>
      <c r="B14" s="28" t="inlineStr">
        <is>
          <t>Kris Fellipe</t>
        </is>
      </c>
      <c r="C14" s="29" t="inlineStr">
        <is>
          <t>888.888.888-88</t>
        </is>
      </c>
      <c r="D14" s="29" t="inlineStr">
        <is>
          <t>88.888.888-8</t>
        </is>
      </c>
      <c r="E14" s="27" t="n">
        <v>31566</v>
      </c>
      <c r="F14" s="29">
        <f>IF(E14="","",DATEDIF(E14,TODAY(),"Y"))</f>
        <v/>
      </c>
      <c r="G14" s="29" t="inlineStr">
        <is>
          <t>(62) 98888-9999</t>
        </is>
      </c>
      <c r="H14" s="28" t="inlineStr">
        <is>
          <t>kris.fellipe@email.com</t>
        </is>
      </c>
      <c r="I14" s="28" t="inlineStr">
        <is>
          <t>UBS Turvânia - Turvânia/GO</t>
        </is>
      </c>
      <c r="J14" s="29" t="inlineStr">
        <is>
          <t>Particular</t>
        </is>
      </c>
      <c r="K14" s="28" t="inlineStr">
        <is>
          <t>Dentista (UBS)</t>
        </is>
      </c>
      <c r="L14" s="27" t="n">
        <v>46032</v>
      </c>
      <c r="M14" s="29" t="inlineStr">
        <is>
          <t>Mensal</t>
        </is>
      </c>
      <c r="N14" s="30" t="n">
        <v>150</v>
      </c>
      <c r="O14" s="29" t="inlineStr">
        <is>
          <t>Ativo</t>
        </is>
      </c>
      <c r="P14" s="29" t="n">
        <v>6</v>
      </c>
      <c r="Q14" s="29" t="n">
        <v>2</v>
      </c>
      <c r="R14" s="29">
        <f>IF(P14="","",P14-Q14)</f>
        <v/>
      </c>
      <c r="S14" s="27" t="n">
        <v>46162</v>
      </c>
      <c r="T14" s="30">
        <f>IF(N14="","",Q14*N14)</f>
        <v/>
      </c>
    </row>
    <row r="15" ht="20" customHeight="1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</row>
    <row r="16" ht="20" customHeight="1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</row>
    <row r="17" ht="2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</row>
    <row r="18" ht="20" customHeight="1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</row>
    <row r="19" ht="20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</row>
    <row r="20" ht="20" customHeight="1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</row>
    <row r="21" ht="20" customHeight="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</row>
    <row r="22" ht="20" customHeight="1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</row>
    <row r="23" ht="20" customHeight="1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</row>
    <row r="24" ht="20" customHeight="1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</row>
    <row r="25" ht="20" customHeight="1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</row>
    <row r="26" ht="20" customHeight="1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</row>
    <row r="27" ht="20" customHeight="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</row>
    <row r="28" ht="20" customHeight="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</row>
    <row r="29" ht="20" customHeight="1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</row>
    <row r="30" ht="20" customHeight="1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</row>
    <row r="31" ht="20" customHeight="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</row>
    <row r="32" ht="20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</row>
    <row r="33" ht="20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</row>
    <row r="34" ht="20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</row>
    <row r="35" ht="20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</row>
    <row r="36" ht="20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</row>
    <row r="37" ht="20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</row>
    <row r="38" ht="20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</row>
    <row r="39" ht="20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</row>
    <row r="40" ht="20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</row>
    <row r="41" ht="20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</row>
    <row r="42" ht="20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</row>
    <row r="43" ht="20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</row>
    <row r="44" ht="20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</row>
    <row r="45" ht="20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</row>
    <row r="46" ht="20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</row>
    <row r="47" ht="20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</row>
    <row r="48" ht="20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</row>
    <row r="49" ht="20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</row>
    <row r="50" ht="20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</row>
    <row r="51" ht="20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</row>
    <row r="52" ht="20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</row>
    <row r="53" ht="20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</row>
    <row r="54" ht="20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</row>
    <row r="55" ht="20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</row>
    <row r="56" ht="20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</row>
  </sheetData>
  <mergeCells count="2">
    <mergeCell ref="B2:F2"/>
    <mergeCell ref="B3:F3"/>
  </mergeCells>
  <conditionalFormatting sqref="O7:O56">
    <cfRule type="expression" priority="1" dxfId="0">
      <formula>ISNUMBER(SEARCH("Ativo",O7))</formula>
    </cfRule>
    <cfRule type="expression" priority="2" dxfId="2">
      <formula>ISNUMBER(SEARCH("Pausado",O7))</formula>
    </cfRule>
    <cfRule type="expression" priority="3" dxfId="5">
      <formula>ISNUMBER(SEARCH("Alta",O7))</formula>
    </cfRule>
    <cfRule type="expression" priority="4" dxfId="1">
      <formula>ISNUMBER(SEARCH("Inativo",O7))</formula>
    </cfRule>
  </conditionalFormatting>
  <dataValidations count="3">
    <dataValidation sqref="J7:J56" showDropDown="0" showInputMessage="0" showErrorMessage="0" allowBlank="1" type="list">
      <formula1>"Particular,Unimed,Bradesco Saúde,SulAmérica,Amil"</formula1>
    </dataValidation>
    <dataValidation sqref="M7:M56" showDropDown="0" showInputMessage="0" showErrorMessage="0" allowBlank="1" type="list">
      <formula1>"Semanal,Quinzenal,Mensal"</formula1>
    </dataValidation>
    <dataValidation sqref="O7:O56" showDropDown="0" showInputMessage="0" showErrorMessage="0" allowBlank="1" type="list">
      <formula1>"Ativo,Pausado,Alta,Inativo"</formula1>
    </dataValidation>
  </dataValidations>
  <pageMargins left="0.4" right="0.4" top="0.5" bottom="0.5" header="0.2" footer="0.2"/>
  <pageSetup orientation="landscape" fitToHeight="0" fitToWidth="1"/>
  <headerFooter>
    <oddHeader/>
    <oddFooter>&amp;L&amp;8 &amp;K3B3B3BPsi Planner&amp;C&amp;8 &amp;K3B3B3BClínica Vita&amp;R&amp;8 &amp;K3B3B3B&amp;P /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3B3B3B"/>
    <outlinePr summaryBelow="1" summaryRight="1"/>
    <pageSetUpPr fitToPage="1"/>
  </sheetPr>
  <dimension ref="A1:AB160"/>
  <sheetViews>
    <sheetView showGridLines="0" showRowColHeaders="0" zoomScale="100" workbookViewId="0">
      <selection activeCell="A1" sqref="A1"/>
    </sheetView>
  </sheetViews>
  <sheetFormatPr baseColWidth="8" defaultRowHeight="15"/>
  <cols>
    <col width="3" customWidth="1" min="1" max="1"/>
    <col width="9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4" customWidth="1" min="9" max="9"/>
    <col width="26" customWidth="1" min="10" max="10"/>
    <col width="16" customWidth="1" min="11" max="11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</cols>
  <sheetData>
    <row r="1" ht="3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50" customHeight="1">
      <c r="A2" s="3" t="n"/>
      <c r="B2" s="21" t="inlineStr">
        <is>
          <t>CALENDÁRIO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 ht="14" customHeight="1">
      <c r="A3" s="6" t="n"/>
      <c r="B3" s="7" t="inlineStr">
        <is>
          <t>Agenda semanal de atendimentos</t>
        </is>
      </c>
      <c r="C3" s="6" t="n"/>
      <c r="D3" s="6" t="n"/>
      <c r="E3" s="6" t="n"/>
      <c r="F3" s="6" t="n"/>
      <c r="G3" s="6" t="n"/>
      <c r="H3" s="6" t="n"/>
      <c r="I3" s="6" t="n"/>
      <c r="J3" s="6" t="n"/>
      <c r="K3" s="6" t="n"/>
    </row>
    <row r="4" ht="14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18" t="inlineStr">
        <is>
          <t>RESUMO DO DIA</t>
        </is>
      </c>
      <c r="K4" s="6" t="n"/>
    </row>
    <row r="5" ht="24" customHeight="1">
      <c r="A5" s="6" t="n"/>
      <c r="B5" s="36" t="inlineStr">
        <is>
          <t>Hora</t>
        </is>
      </c>
      <c r="C5" s="36" t="inlineStr">
        <is>
          <t>Segunda</t>
        </is>
      </c>
      <c r="D5" s="36" t="inlineStr">
        <is>
          <t>Terça</t>
        </is>
      </c>
      <c r="E5" s="36" t="inlineStr">
        <is>
          <t>Quarta</t>
        </is>
      </c>
      <c r="F5" s="36" t="inlineStr">
        <is>
          <t>Quinta</t>
        </is>
      </c>
      <c r="G5" s="36" t="inlineStr">
        <is>
          <t>Sexta</t>
        </is>
      </c>
      <c r="H5" s="36" t="inlineStr">
        <is>
          <t>Sábado</t>
        </is>
      </c>
      <c r="I5" s="6" t="n"/>
      <c r="J5" s="34" t="inlineStr">
        <is>
          <t>Consultas do dia</t>
        </is>
      </c>
      <c r="K5" s="37">
        <f>SUMPRODUCT((CAL_LogData=TODAY())*1)</f>
        <v/>
      </c>
    </row>
    <row r="6" ht="34" customHeight="1">
      <c r="A6" s="6" t="n"/>
      <c r="B6" s="38" t="inlineStr">
        <is>
          <t>07h</t>
        </is>
      </c>
      <c r="C6" s="8" t="n"/>
      <c r="D6" s="8" t="n"/>
      <c r="E6" s="8" t="n"/>
      <c r="F6" s="8" t="n"/>
      <c r="G6" s="8" t="n"/>
      <c r="H6" s="8" t="n"/>
      <c r="I6" s="6" t="n"/>
      <c r="J6" s="34" t="inlineStr">
        <is>
          <t>Taxa de cancelamento</t>
        </is>
      </c>
      <c r="K6" s="39">
        <f>IFERROR(COUNTIF(CAL_LogStatus,"Cancelado")/COUNTA(CAL_LogStatus),0)</f>
        <v/>
      </c>
    </row>
    <row r="7" ht="34" customHeight="1">
      <c r="A7" s="6" t="n"/>
      <c r="B7" s="38" t="inlineStr">
        <is>
          <t>08h</t>
        </is>
      </c>
      <c r="C7" s="8" t="n"/>
      <c r="D7" s="8" t="n"/>
      <c r="E7" s="8" t="n"/>
      <c r="F7" s="8" t="n"/>
      <c r="G7" s="8" t="n"/>
      <c r="H7" s="40" t="inlineStr">
        <is>
          <t>Kris Fellipe
Presencial · Cancelado</t>
        </is>
      </c>
      <c r="I7" s="6" t="n"/>
      <c r="J7" s="34" t="inlineStr">
        <is>
          <t>Taxa de faltas</t>
        </is>
      </c>
      <c r="K7" s="39">
        <f>IFERROR(COUNTIF(CAL_LogStatus,"Faltou")/COUNTA(CAL_LogStatus),0)</f>
        <v/>
      </c>
    </row>
    <row r="8" ht="34" customHeight="1">
      <c r="A8" s="6" t="n"/>
      <c r="B8" s="38" t="inlineStr">
        <is>
          <t>09h</t>
        </is>
      </c>
      <c r="C8" s="8" t="n"/>
      <c r="D8" s="8" t="n"/>
      <c r="E8" s="8" t="n"/>
      <c r="F8" s="40" t="inlineStr">
        <is>
          <t>Diego Esteves
Presencial · Faltou</t>
        </is>
      </c>
      <c r="G8" s="8" t="n"/>
      <c r="H8" s="8" t="n"/>
      <c r="I8" s="6" t="n"/>
      <c r="J8" s="6" t="n"/>
      <c r="K8" s="6" t="n"/>
    </row>
    <row r="9" ht="34" customHeight="1">
      <c r="A9" s="6" t="n"/>
      <c r="B9" s="38" t="inlineStr">
        <is>
          <t>10h</t>
        </is>
      </c>
      <c r="C9" s="8" t="n"/>
      <c r="D9" s="40" t="inlineStr">
        <is>
          <t>Bruno Carvalho
Online · Confirmado</t>
        </is>
      </c>
      <c r="E9" s="8" t="n"/>
      <c r="F9" s="8" t="n"/>
      <c r="G9" s="8" t="n"/>
      <c r="H9" s="8" t="n"/>
      <c r="I9" s="6" t="n"/>
      <c r="J9" s="6" t="n"/>
      <c r="K9" s="6" t="n"/>
    </row>
    <row r="10" ht="34" customHeight="1">
      <c r="A10" s="6" t="n"/>
      <c r="B10" s="38" t="inlineStr">
        <is>
          <t>11h</t>
        </is>
      </c>
      <c r="C10" s="40" t="inlineStr">
        <is>
          <t>Fernando Gomes
Presencial · Confirmado</t>
        </is>
      </c>
      <c r="D10" s="8" t="n"/>
      <c r="E10" s="8" t="n"/>
      <c r="F10" s="8" t="n"/>
      <c r="G10" s="8" t="n"/>
      <c r="H10" s="8" t="n"/>
      <c r="I10" s="6" t="n"/>
      <c r="J10" s="18" t="inlineStr">
        <is>
          <t>LISTA DE ESPERA</t>
        </is>
      </c>
      <c r="K10" s="6" t="n"/>
    </row>
    <row r="11" ht="34" customHeight="1">
      <c r="A11" s="6" t="n"/>
      <c r="B11" s="38" t="inlineStr">
        <is>
          <t>12h</t>
        </is>
      </c>
      <c r="C11" s="8" t="n"/>
      <c r="D11" s="8" t="n"/>
      <c r="E11" s="8" t="n"/>
      <c r="F11" s="8" t="n"/>
      <c r="G11" s="8" t="n"/>
      <c r="H11" s="8" t="n"/>
      <c r="I11" s="6" t="n"/>
      <c r="J11" s="41" t="inlineStr">
        <is>
          <t>Nome</t>
        </is>
      </c>
      <c r="K11" s="42" t="inlineStr">
        <is>
          <t>Telefone</t>
        </is>
      </c>
    </row>
    <row r="12" ht="34" customHeight="1">
      <c r="A12" s="6" t="n"/>
      <c r="B12" s="38" t="inlineStr">
        <is>
          <t>13h</t>
        </is>
      </c>
      <c r="C12" s="8" t="n"/>
      <c r="D12" s="8" t="n"/>
      <c r="E12" s="8" t="n"/>
      <c r="F12" s="8" t="n"/>
      <c r="G12" s="8" t="n"/>
      <c r="H12" s="8" t="n"/>
      <c r="I12" s="6" t="n"/>
      <c r="J12" s="43" t="inlineStr">
        <is>
          <t>Marina Lopes</t>
        </is>
      </c>
      <c r="K12" s="44" t="inlineStr">
        <is>
          <t>(62) 99100-2200</t>
        </is>
      </c>
    </row>
    <row r="13" ht="34" customHeight="1">
      <c r="A13" s="6" t="n"/>
      <c r="B13" s="38" t="inlineStr">
        <is>
          <t>14h</t>
        </is>
      </c>
      <c r="C13" s="40" t="inlineStr">
        <is>
          <t>Ana Beatriz Souza
Presencial · Realizado</t>
        </is>
      </c>
      <c r="D13" s="8" t="n"/>
      <c r="E13" s="8" t="n"/>
      <c r="F13" s="8" t="n"/>
      <c r="G13" s="8" t="n"/>
      <c r="H13" s="8" t="n"/>
      <c r="I13" s="6" t="n"/>
      <c r="J13" s="43" t="inlineStr">
        <is>
          <t>Otávio Reis</t>
        </is>
      </c>
      <c r="K13" s="44" t="inlineStr">
        <is>
          <t>(62) 99100-3300</t>
        </is>
      </c>
    </row>
    <row r="14" ht="34" customHeight="1">
      <c r="A14" s="6" t="n"/>
      <c r="B14" s="38" t="inlineStr">
        <is>
          <t>15h</t>
        </is>
      </c>
      <c r="C14" s="8" t="n"/>
      <c r="D14" s="8" t="n"/>
      <c r="E14" s="40" t="inlineStr">
        <is>
          <t>Camila Diniz
Presencial · Confirmado</t>
        </is>
      </c>
      <c r="F14" s="8" t="n"/>
      <c r="G14" s="8" t="n"/>
      <c r="H14" s="8" t="n"/>
      <c r="I14" s="6" t="n"/>
      <c r="J14" s="8" t="n"/>
      <c r="K14" s="8" t="n"/>
    </row>
    <row r="15" ht="34" customHeight="1">
      <c r="A15" s="6" t="n"/>
      <c r="B15" s="38" t="inlineStr">
        <is>
          <t>16h</t>
        </is>
      </c>
      <c r="C15" s="8" t="n"/>
      <c r="D15" s="8" t="n"/>
      <c r="E15" s="8" t="n"/>
      <c r="F15" s="8" t="n"/>
      <c r="G15" s="40" t="inlineStr">
        <is>
          <t>Eduarda Faria
Online · Confirmado</t>
        </is>
      </c>
      <c r="H15" s="8" t="n"/>
      <c r="I15" s="6" t="n"/>
      <c r="J15" s="8" t="n"/>
      <c r="K15" s="8" t="n"/>
    </row>
    <row r="16" ht="34" customHeight="1">
      <c r="A16" s="6" t="n"/>
      <c r="B16" s="38" t="inlineStr">
        <is>
          <t>17h</t>
        </is>
      </c>
      <c r="C16" s="8" t="n"/>
      <c r="D16" s="8" t="n"/>
      <c r="E16" s="8" t="n"/>
      <c r="F16" s="8" t="n"/>
      <c r="G16" s="8" t="n"/>
      <c r="H16" s="8" t="n"/>
      <c r="I16" s="6" t="n"/>
      <c r="J16" s="8" t="n"/>
      <c r="K16" s="8" t="n"/>
    </row>
    <row r="17" ht="34" customHeight="1">
      <c r="A17" s="6" t="n"/>
      <c r="B17" s="38" t="inlineStr">
        <is>
          <t>18h</t>
        </is>
      </c>
      <c r="C17" s="8" t="n"/>
      <c r="D17" s="8" t="n"/>
      <c r="E17" s="8" t="n"/>
      <c r="F17" s="8" t="n"/>
      <c r="G17" s="8" t="n"/>
      <c r="H17" s="8" t="n"/>
      <c r="I17" s="6" t="n"/>
      <c r="J17" s="8" t="n"/>
      <c r="K17" s="8" t="n"/>
    </row>
    <row r="18" ht="34" customHeight="1">
      <c r="A18" s="6" t="n"/>
      <c r="B18" s="38" t="inlineStr">
        <is>
          <t>19h</t>
        </is>
      </c>
      <c r="C18" s="8" t="n"/>
      <c r="D18" s="8" t="n"/>
      <c r="E18" s="40" t="inlineStr">
        <is>
          <t>Gabriela Hoffmann
Online · Realizado</t>
        </is>
      </c>
      <c r="F18" s="8" t="n"/>
      <c r="G18" s="8" t="n"/>
      <c r="H18" s="8" t="n"/>
      <c r="I18" s="6" t="n"/>
      <c r="J18" s="8" t="n"/>
      <c r="K18" s="8" t="n"/>
    </row>
    <row r="19" ht="34" customHeight="1">
      <c r="A19" s="6" t="n"/>
      <c r="B19" s="38" t="inlineStr">
        <is>
          <t>20h</t>
        </is>
      </c>
      <c r="C19" s="8" t="n"/>
      <c r="D19" s="8" t="n"/>
      <c r="E19" s="8" t="n"/>
      <c r="F19" s="8" t="n"/>
      <c r="G19" s="8" t="n"/>
      <c r="H19" s="8" t="n"/>
      <c r="I19" s="6" t="n"/>
      <c r="J19" s="8" t="n"/>
      <c r="K19" s="8" t="n"/>
    </row>
    <row r="20" ht="34" customHeight="1">
      <c r="A20" s="6" t="n"/>
      <c r="B20" s="38" t="inlineStr">
        <is>
          <t>21h</t>
        </is>
      </c>
      <c r="C20" s="8" t="n"/>
      <c r="D20" s="8" t="n"/>
      <c r="E20" s="8" t="n"/>
      <c r="F20" s="8" t="n"/>
      <c r="G20" s="8" t="n"/>
      <c r="H20" s="8" t="n"/>
      <c r="I20" s="6" t="n"/>
      <c r="J20" s="8" t="n"/>
      <c r="K20" s="8" t="n"/>
    </row>
    <row r="21" ht="34" customHeight="1">
      <c r="A21" s="6" t="n"/>
      <c r="B21" s="38" t="inlineStr">
        <is>
          <t>22h</t>
        </is>
      </c>
      <c r="C21" s="8" t="n"/>
      <c r="D21" s="8" t="n"/>
      <c r="E21" s="8" t="n"/>
      <c r="F21" s="8" t="n"/>
      <c r="G21" s="8" t="n"/>
      <c r="H21" s="8" t="n"/>
      <c r="I21" s="6" t="n"/>
      <c r="J21" s="6" t="n"/>
      <c r="K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 hidden="1"/>
    <row r="97" hidden="1">
      <c r="B97" s="45" t="n"/>
    </row>
    <row r="98" hidden="1"/>
    <row r="99" hidden="1">
      <c r="A99" s="45" t="inlineStr">
        <is>
          <t>Data</t>
        </is>
      </c>
      <c r="B99" s="45" t="inlineStr">
        <is>
          <t>Hora</t>
        </is>
      </c>
      <c r="C99" s="45" t="inlineStr">
        <is>
          <t>Paciente</t>
        </is>
      </c>
      <c r="D99" s="45" t="inlineStr">
        <is>
          <t>Tipo</t>
        </is>
      </c>
      <c r="E99" s="45" t="inlineStr">
        <is>
          <t>Status</t>
        </is>
      </c>
    </row>
    <row r="100" hidden="1">
      <c r="A100" s="46" t="n">
        <v>46167</v>
      </c>
      <c r="B100" s="45" t="inlineStr">
        <is>
          <t>14:00</t>
        </is>
      </c>
      <c r="C100" s="45" t="inlineStr">
        <is>
          <t>Ana Beatriz Souza</t>
        </is>
      </c>
      <c r="D100" s="45" t="inlineStr">
        <is>
          <t>Presencial</t>
        </is>
      </c>
      <c r="E100" s="45" t="inlineStr">
        <is>
          <t>Realizado</t>
        </is>
      </c>
      <c r="AB100">
        <f>IF(AND(A100&lt;&gt;"",A100&gt;=TODAY()),A100,"")</f>
        <v/>
      </c>
    </row>
    <row r="101" hidden="1">
      <c r="A101" s="46" t="n">
        <v>46168</v>
      </c>
      <c r="B101" s="45" t="inlineStr">
        <is>
          <t>10:00</t>
        </is>
      </c>
      <c r="C101" s="45" t="inlineStr">
        <is>
          <t>Bruno Carvalho</t>
        </is>
      </c>
      <c r="D101" s="45" t="inlineStr">
        <is>
          <t>Online</t>
        </is>
      </c>
      <c r="E101" s="45" t="inlineStr">
        <is>
          <t>Confirmado</t>
        </is>
      </c>
      <c r="AB101">
        <f>IF(AND(A101&lt;&gt;"",A101&gt;=TODAY()),A101,"")</f>
        <v/>
      </c>
    </row>
    <row r="102" hidden="1">
      <c r="A102" s="46" t="n">
        <v>46169</v>
      </c>
      <c r="B102" s="45" t="inlineStr">
        <is>
          <t>15:00</t>
        </is>
      </c>
      <c r="C102" s="45" t="inlineStr">
        <is>
          <t>Camila Diniz</t>
        </is>
      </c>
      <c r="D102" s="45" t="inlineStr">
        <is>
          <t>Presencial</t>
        </is>
      </c>
      <c r="E102" s="45" t="inlineStr">
        <is>
          <t>Confirmado</t>
        </is>
      </c>
      <c r="AB102">
        <f>IF(AND(A102&lt;&gt;"",A102&gt;=TODAY()),A102,"")</f>
        <v/>
      </c>
    </row>
    <row r="103" hidden="1">
      <c r="A103" s="46" t="n">
        <v>46170</v>
      </c>
      <c r="B103" s="45" t="inlineStr">
        <is>
          <t>09:00</t>
        </is>
      </c>
      <c r="C103" s="45" t="inlineStr">
        <is>
          <t>Diego Esteves</t>
        </is>
      </c>
      <c r="D103" s="45" t="inlineStr">
        <is>
          <t>Presencial</t>
        </is>
      </c>
      <c r="E103" s="45" t="inlineStr">
        <is>
          <t>Faltou</t>
        </is>
      </c>
      <c r="AB103">
        <f>IF(AND(A103&lt;&gt;"",A103&gt;=TODAY()),A103,"")</f>
        <v/>
      </c>
    </row>
    <row r="104" hidden="1">
      <c r="A104" s="46" t="n">
        <v>46171</v>
      </c>
      <c r="B104" s="45" t="inlineStr">
        <is>
          <t>16:00</t>
        </is>
      </c>
      <c r="C104" s="45" t="inlineStr">
        <is>
          <t>Eduarda Faria</t>
        </is>
      </c>
      <c r="D104" s="45" t="inlineStr">
        <is>
          <t>Online</t>
        </is>
      </c>
      <c r="E104" s="45" t="inlineStr">
        <is>
          <t>Confirmado</t>
        </is>
      </c>
      <c r="AB104">
        <f>IF(AND(A104&lt;&gt;"",A104&gt;=TODAY()),A104,"")</f>
        <v/>
      </c>
    </row>
    <row r="105" hidden="1">
      <c r="A105" s="46" t="n">
        <v>46172</v>
      </c>
      <c r="B105" s="45" t="inlineStr">
        <is>
          <t>08:00</t>
        </is>
      </c>
      <c r="C105" s="45" t="inlineStr">
        <is>
          <t>Kris Fellipe</t>
        </is>
      </c>
      <c r="D105" s="45" t="inlineStr">
        <is>
          <t>Presencial</t>
        </is>
      </c>
      <c r="E105" s="45" t="inlineStr">
        <is>
          <t>Cancelado</t>
        </is>
      </c>
      <c r="AB105">
        <f>IF(AND(A105&lt;&gt;"",A105&gt;=TODAY()),A105,"")</f>
        <v/>
      </c>
    </row>
    <row r="106" hidden="1">
      <c r="A106" s="46" t="n">
        <v>46167</v>
      </c>
      <c r="B106" s="45" t="inlineStr">
        <is>
          <t>11:00</t>
        </is>
      </c>
      <c r="C106" s="45" t="inlineStr">
        <is>
          <t>Fernando Gomes</t>
        </is>
      </c>
      <c r="D106" s="45" t="inlineStr">
        <is>
          <t>Presencial</t>
        </is>
      </c>
      <c r="E106" s="45" t="inlineStr">
        <is>
          <t>Confirmado</t>
        </is>
      </c>
      <c r="AB106">
        <f>IF(AND(A106&lt;&gt;"",A106&gt;=TODAY()),A106,"")</f>
        <v/>
      </c>
    </row>
    <row r="107" hidden="1">
      <c r="A107" s="46" t="n">
        <v>46169</v>
      </c>
      <c r="B107" s="45" t="inlineStr">
        <is>
          <t>19:00</t>
        </is>
      </c>
      <c r="C107" s="45" t="inlineStr">
        <is>
          <t>Gabriela Hoffmann</t>
        </is>
      </c>
      <c r="D107" s="45" t="inlineStr">
        <is>
          <t>Online</t>
        </is>
      </c>
      <c r="E107" s="45" t="inlineStr">
        <is>
          <t>Realizado</t>
        </is>
      </c>
      <c r="AB107">
        <f>IF(AND(A107&lt;&gt;"",A107&gt;=TODAY()),A107,"")</f>
        <v/>
      </c>
    </row>
    <row r="108" hidden="1">
      <c r="AB108">
        <f>IF(AND(A108&lt;&gt;"",A108&gt;=TODAY()),A108,"")</f>
        <v/>
      </c>
    </row>
    <row r="109" hidden="1">
      <c r="AB109">
        <f>IF(AND(A109&lt;&gt;"",A109&gt;=TODAY()),A109,"")</f>
        <v/>
      </c>
    </row>
    <row r="110" hidden="1">
      <c r="AB110">
        <f>IF(AND(A110&lt;&gt;"",A110&gt;=TODAY()),A110,"")</f>
        <v/>
      </c>
    </row>
    <row r="111" hidden="1">
      <c r="AB111">
        <f>IF(AND(A111&lt;&gt;"",A111&gt;=TODAY()),A111,"")</f>
        <v/>
      </c>
    </row>
    <row r="112" hidden="1">
      <c r="AB112">
        <f>IF(AND(A112&lt;&gt;"",A112&gt;=TODAY()),A112,"")</f>
        <v/>
      </c>
    </row>
    <row r="113" hidden="1">
      <c r="AB113">
        <f>IF(AND(A113&lt;&gt;"",A113&gt;=TODAY()),A113,"")</f>
        <v/>
      </c>
    </row>
    <row r="114" hidden="1">
      <c r="AB114">
        <f>IF(AND(A114&lt;&gt;"",A114&gt;=TODAY()),A114,"")</f>
        <v/>
      </c>
    </row>
    <row r="115" hidden="1">
      <c r="AB115">
        <f>IF(AND(A115&lt;&gt;"",A115&gt;=TODAY()),A115,"")</f>
        <v/>
      </c>
    </row>
    <row r="116" hidden="1">
      <c r="AB116">
        <f>IF(AND(A116&lt;&gt;"",A116&gt;=TODAY()),A116,"")</f>
        <v/>
      </c>
    </row>
    <row r="117" hidden="1">
      <c r="AB117">
        <f>IF(AND(A117&lt;&gt;"",A117&gt;=TODAY()),A117,"")</f>
        <v/>
      </c>
    </row>
    <row r="118" hidden="1">
      <c r="AB118">
        <f>IF(AND(A118&lt;&gt;"",A118&gt;=TODAY()),A118,"")</f>
        <v/>
      </c>
    </row>
    <row r="119" hidden="1">
      <c r="AB119">
        <f>IF(AND(A119&lt;&gt;"",A119&gt;=TODAY()),A119,"")</f>
        <v/>
      </c>
    </row>
    <row r="120" hidden="1">
      <c r="AB120">
        <f>IF(AND(A120&lt;&gt;"",A120&gt;=TODAY()),A120,"")</f>
        <v/>
      </c>
    </row>
    <row r="121" hidden="1">
      <c r="AB121">
        <f>IF(AND(A121&lt;&gt;"",A121&gt;=TODAY()),A121,"")</f>
        <v/>
      </c>
    </row>
    <row r="122" hidden="1">
      <c r="AB122">
        <f>IF(AND(A122&lt;&gt;"",A122&gt;=TODAY()),A122,"")</f>
        <v/>
      </c>
    </row>
    <row r="123" hidden="1">
      <c r="AB123">
        <f>IF(AND(A123&lt;&gt;"",A123&gt;=TODAY()),A123,"")</f>
        <v/>
      </c>
    </row>
    <row r="124" hidden="1">
      <c r="AB124">
        <f>IF(AND(A124&lt;&gt;"",A124&gt;=TODAY()),A124,"")</f>
        <v/>
      </c>
    </row>
    <row r="125" hidden="1">
      <c r="AB125">
        <f>IF(AND(A125&lt;&gt;"",A125&gt;=TODAY()),A125,"")</f>
        <v/>
      </c>
    </row>
    <row r="126" hidden="1">
      <c r="AB126">
        <f>IF(AND(A126&lt;&gt;"",A126&gt;=TODAY()),A126,"")</f>
        <v/>
      </c>
    </row>
    <row r="127" hidden="1">
      <c r="AB127">
        <f>IF(AND(A127&lt;&gt;"",A127&gt;=TODAY()),A127,"")</f>
        <v/>
      </c>
    </row>
    <row r="128" hidden="1">
      <c r="AB128">
        <f>IF(AND(A128&lt;&gt;"",A128&gt;=TODAY()),A128,"")</f>
        <v/>
      </c>
    </row>
    <row r="129" hidden="1">
      <c r="AB129">
        <f>IF(AND(A129&lt;&gt;"",A129&gt;=TODAY()),A129,"")</f>
        <v/>
      </c>
    </row>
    <row r="130" hidden="1">
      <c r="AB130">
        <f>IF(AND(A130&lt;&gt;"",A130&gt;=TODAY()),A130,"")</f>
        <v/>
      </c>
    </row>
    <row r="131" hidden="1">
      <c r="AB131">
        <f>IF(AND(A131&lt;&gt;"",A131&gt;=TODAY()),A131,"")</f>
        <v/>
      </c>
    </row>
    <row r="132" hidden="1">
      <c r="AB132">
        <f>IF(AND(A132&lt;&gt;"",A132&gt;=TODAY()),A132,"")</f>
        <v/>
      </c>
    </row>
    <row r="133" hidden="1">
      <c r="AB133">
        <f>IF(AND(A133&lt;&gt;"",A133&gt;=TODAY()),A133,"")</f>
        <v/>
      </c>
    </row>
    <row r="134" hidden="1">
      <c r="AB134">
        <f>IF(AND(A134&lt;&gt;"",A134&gt;=TODAY()),A134,"")</f>
        <v/>
      </c>
    </row>
    <row r="135" hidden="1">
      <c r="AB135">
        <f>IF(AND(A135&lt;&gt;"",A135&gt;=TODAY()),A135,"")</f>
        <v/>
      </c>
    </row>
    <row r="136" hidden="1">
      <c r="AB136">
        <f>IF(AND(A136&lt;&gt;"",A136&gt;=TODAY()),A136,"")</f>
        <v/>
      </c>
    </row>
    <row r="137" hidden="1">
      <c r="AB137">
        <f>IF(AND(A137&lt;&gt;"",A137&gt;=TODAY()),A137,"")</f>
        <v/>
      </c>
    </row>
    <row r="138" hidden="1">
      <c r="AB138">
        <f>IF(AND(A138&lt;&gt;"",A138&gt;=TODAY()),A138,"")</f>
        <v/>
      </c>
    </row>
    <row r="139" hidden="1">
      <c r="AB139">
        <f>IF(AND(A139&lt;&gt;"",A139&gt;=TODAY()),A139,"")</f>
        <v/>
      </c>
    </row>
    <row r="140" hidden="1">
      <c r="AB140">
        <f>IF(AND(A140&lt;&gt;"",A140&gt;=TODAY()),A140,"")</f>
        <v/>
      </c>
    </row>
    <row r="141" hidden="1">
      <c r="AB141">
        <f>IF(AND(A141&lt;&gt;"",A141&gt;=TODAY()),A141,"")</f>
        <v/>
      </c>
    </row>
    <row r="142" hidden="1">
      <c r="AB142">
        <f>IF(AND(A142&lt;&gt;"",A142&gt;=TODAY()),A142,"")</f>
        <v/>
      </c>
    </row>
    <row r="143" hidden="1">
      <c r="AB143">
        <f>IF(AND(A143&lt;&gt;"",A143&gt;=TODAY()),A143,"")</f>
        <v/>
      </c>
    </row>
    <row r="144" hidden="1">
      <c r="AB144">
        <f>IF(AND(A144&lt;&gt;"",A144&gt;=TODAY()),A144,"")</f>
        <v/>
      </c>
    </row>
    <row r="145" hidden="1">
      <c r="AB145">
        <f>IF(AND(A145&lt;&gt;"",A145&gt;=TODAY()),A145,"")</f>
        <v/>
      </c>
    </row>
    <row r="146" hidden="1">
      <c r="AB146">
        <f>IF(AND(A146&lt;&gt;"",A146&gt;=TODAY()),A146,"")</f>
        <v/>
      </c>
    </row>
    <row r="147" hidden="1">
      <c r="AB147">
        <f>IF(AND(A147&lt;&gt;"",A147&gt;=TODAY()),A147,"")</f>
        <v/>
      </c>
    </row>
    <row r="148" hidden="1">
      <c r="AB148">
        <f>IF(AND(A148&lt;&gt;"",A148&gt;=TODAY()),A148,"")</f>
        <v/>
      </c>
    </row>
    <row r="149" hidden="1">
      <c r="AB149">
        <f>IF(AND(A149&lt;&gt;"",A149&gt;=TODAY()),A149,"")</f>
        <v/>
      </c>
    </row>
    <row r="150" hidden="1">
      <c r="AB150">
        <f>IF(AND(A150&lt;&gt;"",A150&gt;=TODAY()),A150,"")</f>
        <v/>
      </c>
    </row>
    <row r="151" hidden="1">
      <c r="AB151">
        <f>IF(AND(A151&lt;&gt;"",A151&gt;=TODAY()),A151,"")</f>
        <v/>
      </c>
    </row>
    <row r="152" hidden="1">
      <c r="AB152">
        <f>IF(AND(A152&lt;&gt;"",A152&gt;=TODAY()),A152,"")</f>
        <v/>
      </c>
    </row>
    <row r="153" hidden="1">
      <c r="AB153">
        <f>IF(AND(A153&lt;&gt;"",A153&gt;=TODAY()),A153,"")</f>
        <v/>
      </c>
    </row>
    <row r="154" hidden="1">
      <c r="AB154">
        <f>IF(AND(A154&lt;&gt;"",A154&gt;=TODAY()),A154,"")</f>
        <v/>
      </c>
    </row>
    <row r="155" hidden="1">
      <c r="AB155">
        <f>IF(AND(A155&lt;&gt;"",A155&gt;=TODAY()),A155,"")</f>
        <v/>
      </c>
    </row>
    <row r="156" hidden="1">
      <c r="AB156">
        <f>IF(AND(A156&lt;&gt;"",A156&gt;=TODAY()),A156,"")</f>
        <v/>
      </c>
    </row>
    <row r="157" hidden="1">
      <c r="AB157">
        <f>IF(AND(A157&lt;&gt;"",A157&gt;=TODAY()),A157,"")</f>
        <v/>
      </c>
    </row>
    <row r="158" hidden="1">
      <c r="AB158">
        <f>IF(AND(A158&lt;&gt;"",A158&gt;=TODAY()),A158,"")</f>
        <v/>
      </c>
    </row>
    <row r="159" hidden="1">
      <c r="AB159">
        <f>IF(AND(A159&lt;&gt;"",A159&gt;=TODAY()),A159,"")</f>
        <v/>
      </c>
    </row>
    <row r="160" hidden="1">
      <c r="AB160">
        <f>IF(AND(A160&lt;&gt;"",A160&gt;=TODAY()),A160,"")</f>
        <v/>
      </c>
    </row>
  </sheetData>
  <mergeCells count="4">
    <mergeCell ref="B2:F2"/>
    <mergeCell ref="J4:K4"/>
    <mergeCell ref="B3:F3"/>
    <mergeCell ref="J10:K10"/>
  </mergeCells>
  <conditionalFormatting sqref="C6:H21">
    <cfRule type="expression" priority="1" dxfId="1">
      <formula>ISNUMBER(SEARCH("Cancelado",C6))</formula>
    </cfRule>
    <cfRule type="expression" priority="2" dxfId="1">
      <formula>ISNUMBER(SEARCH("Faltou",C6))</formula>
    </cfRule>
    <cfRule type="expression" priority="3" dxfId="0">
      <formula>ISNUMBER(SEARCH("Confirmado",C6))</formula>
    </cfRule>
    <cfRule type="expression" priority="4" dxfId="0">
      <formula>ISNUMBER(SEARCH("Atendido",C6))</formula>
    </cfRule>
    <cfRule type="expression" priority="5" dxfId="0">
      <formula>ISNUMBER(SEARCH("Realizado",C6))</formula>
    </cfRule>
    <cfRule type="expression" priority="6" dxfId="2">
      <formula>ISNUMBER(SEARCH("Remarcado",C6))</formula>
    </cfRule>
  </conditionalFormatting>
  <dataValidations count="1">
    <dataValidation sqref="C6:H21" showDropDown="0" showInputMessage="0" showErrorMessage="0" allowBlank="1" type="list">
      <formula1>"Confirmado,Atendido,Realizado,Remarcado,Cancelado,Faltou"</formula1>
    </dataValidation>
  </dataValidations>
  <pageMargins left="0.4" right="0.4" top="0.5" bottom="0.5" header="0.2" footer="0.2"/>
  <pageSetup orientation="landscape" fitToHeight="0" fitToWidth="1"/>
  <headerFooter>
    <oddHeader/>
    <oddFooter>&amp;L&amp;8 &amp;K3B3B3BPsi Planner&amp;C&amp;8 &amp;K3B3B3BClínica Vita&amp;R&amp;8 &amp;K3B3B3B&amp;P /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3B3B3B"/>
    <outlinePr summaryBelow="1" summaryRight="1"/>
    <pageSetUpPr fitToPage="1"/>
  </sheetPr>
  <dimension ref="A1:AC24"/>
  <sheetViews>
    <sheetView showGridLines="0" showRowColHeaders="0" zoomScale="100" workbookViewId="0">
      <pane xSplit="1" ySplit="6" topLeftCell="B7" activePane="bottomRight" state="frozen"/>
      <selection pane="topRight" activeCell="A1" sqref="A1"/>
      <selection pane="bottomLeft"/>
      <selection pane="bottomRight" activeCell="A1" sqref="A1"/>
    </sheetView>
  </sheetViews>
  <sheetFormatPr baseColWidth="8" defaultRowHeight="15"/>
  <cols>
    <col width="3" customWidth="1" min="1" max="1"/>
    <col width="28" customWidth="1" min="2" max="2"/>
    <col width="16" customWidth="1" min="3" max="3"/>
    <col width="8" customWidth="1" min="4" max="4"/>
    <col width="16" customWidth="1" min="5" max="5"/>
    <col width="18" customWidth="1" min="6" max="6"/>
    <col width="16" customWidth="1" min="7" max="7"/>
    <col width="20" customWidth="1" min="8" max="8"/>
    <col width="4" customWidth="1" min="9" max="9"/>
    <col width="26" customWidth="1" min="10" max="10"/>
    <col width="16" customWidth="1" min="11" max="11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</cols>
  <sheetData>
    <row r="1" ht="3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AB1" t="inlineStr">
        <is>
          <t>Mês</t>
        </is>
      </c>
      <c r="AC1" t="inlineStr">
        <is>
          <t>Qtd</t>
        </is>
      </c>
    </row>
    <row r="2" ht="50" customHeight="1">
      <c r="A2" s="3" t="n"/>
      <c r="B2" s="21" t="inlineStr">
        <is>
          <t>ANIVERSARIANTES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AB2" t="inlineStr">
        <is>
          <t>Jan</t>
        </is>
      </c>
      <c r="AC2">
        <f>SUMPRODUCT((ANIV_Nasc&lt;&gt;"")*(MONTH(ANIV_Nasc)=1))</f>
        <v/>
      </c>
    </row>
    <row r="3" ht="14" customHeight="1">
      <c r="A3" s="6" t="n"/>
      <c r="B3" s="7" t="inlineStr">
        <is>
          <t>Relacionamento e cuidado com cada paciente</t>
        </is>
      </c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AB3" t="inlineStr">
        <is>
          <t>Fev</t>
        </is>
      </c>
      <c r="AC3">
        <f>SUMPRODUCT((ANIV_Nasc&lt;&gt;"")*(MONTH(ANIV_Nasc)=2))</f>
        <v/>
      </c>
    </row>
    <row r="4" ht="22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18" t="inlineStr">
        <is>
          <t>DO MÊS</t>
        </is>
      </c>
      <c r="K4" s="6" t="n"/>
      <c r="L4" s="6" t="n"/>
      <c r="M4" s="6" t="n"/>
      <c r="N4" s="6" t="n"/>
      <c r="O4" s="6" t="n"/>
      <c r="P4" s="6" t="n"/>
      <c r="Q4" s="6" t="n"/>
      <c r="AB4" t="inlineStr">
        <is>
          <t>Mar</t>
        </is>
      </c>
      <c r="AC4">
        <f>SUMPRODUCT((ANIV_Nasc&lt;&gt;"")*(MONTH(ANIV_Nasc)=3))</f>
        <v/>
      </c>
    </row>
    <row r="5" ht="14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34" t="inlineStr">
        <is>
          <t>Aniversariantes do mês</t>
        </is>
      </c>
      <c r="K5" s="47">
        <f>SUMPRODUCT((ANIV_Nasc&lt;&gt;"")*(MONTH(ANIV_Nasc)=MONTH(TODAY())))</f>
        <v/>
      </c>
      <c r="L5" s="6" t="n"/>
      <c r="M5" s="6" t="n"/>
      <c r="N5" s="6" t="n"/>
      <c r="O5" s="6" t="n"/>
      <c r="P5" s="6" t="n"/>
      <c r="Q5" s="6" t="n"/>
      <c r="AB5" t="inlineStr">
        <is>
          <t>Abr</t>
        </is>
      </c>
      <c r="AC5">
        <f>SUMPRODUCT((ANIV_Nasc&lt;&gt;"")*(MONTH(ANIV_Nasc)=4))</f>
        <v/>
      </c>
    </row>
    <row r="6" ht="28" customHeight="1">
      <c r="A6" s="6" t="n"/>
      <c r="B6" s="23" t="inlineStr">
        <is>
          <t>Nome</t>
        </is>
      </c>
      <c r="C6" s="22" t="inlineStr">
        <is>
          <t>Nascimento</t>
        </is>
      </c>
      <c r="D6" s="22" t="inlineStr">
        <is>
          <t>Idade</t>
        </is>
      </c>
      <c r="E6" s="22" t="inlineStr">
        <is>
          <t>Aniversário</t>
        </is>
      </c>
      <c r="F6" s="22" t="inlineStr">
        <is>
          <t>Telefone</t>
        </is>
      </c>
      <c r="G6" s="22" t="inlineStr">
        <is>
          <t>Status</t>
        </is>
      </c>
      <c r="H6" s="22" t="inlineStr">
        <is>
          <t>Mensagem enviada?</t>
        </is>
      </c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AB6" t="inlineStr">
        <is>
          <t>Mai</t>
        </is>
      </c>
      <c r="AC6">
        <f>SUMPRODUCT((ANIV_Nasc&lt;&gt;"")*(MONTH(ANIV_Nasc)=5))</f>
        <v/>
      </c>
    </row>
    <row r="7" ht="20" customHeight="1">
      <c r="A7" s="6" t="n"/>
      <c r="B7" s="28" t="inlineStr">
        <is>
          <t>Ana Beatriz Souza</t>
        </is>
      </c>
      <c r="C7" s="27" t="n">
        <v>32942</v>
      </c>
      <c r="D7" s="29">
        <f>IF(C7="","",DATEDIF(C7,TODAY(),"Y"))</f>
        <v/>
      </c>
      <c r="E7" s="29">
        <f>IF(C7="","",TEXT(C7,"dd/mm"))</f>
        <v/>
      </c>
      <c r="F7" s="29" t="inlineStr">
        <is>
          <t>(62) 98111-2222</t>
        </is>
      </c>
      <c r="G7" s="29" t="inlineStr">
        <is>
          <t>Ativo</t>
        </is>
      </c>
      <c r="H7" s="29" t="inlineStr">
        <is>
          <t>Sim</t>
        </is>
      </c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AB7" t="inlineStr">
        <is>
          <t>Jun</t>
        </is>
      </c>
      <c r="AC7">
        <f>SUMPRODUCT((ANIV_Nasc&lt;&gt;"")*(MONTH(ANIV_Nasc)=6))</f>
        <v/>
      </c>
    </row>
    <row r="8" ht="20" customHeight="1">
      <c r="A8" s="6" t="n"/>
      <c r="B8" s="28" t="inlineStr">
        <is>
          <t>Bruno Carvalho</t>
        </is>
      </c>
      <c r="C8" s="27" t="n">
        <v>32278</v>
      </c>
      <c r="D8" s="29">
        <f>IF(C8="","",DATEDIF(C8,TODAY(),"Y"))</f>
        <v/>
      </c>
      <c r="E8" s="29">
        <f>IF(C8="","",TEXT(C8,"dd/mm"))</f>
        <v/>
      </c>
      <c r="F8" s="29" t="inlineStr">
        <is>
          <t>(62) 98222-3333</t>
        </is>
      </c>
      <c r="G8" s="29" t="inlineStr">
        <is>
          <t>Ativo</t>
        </is>
      </c>
      <c r="H8" s="29" t="inlineStr">
        <is>
          <t>Não</t>
        </is>
      </c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AB8" t="inlineStr">
        <is>
          <t>Jul</t>
        </is>
      </c>
      <c r="AC8">
        <f>SUMPRODUCT((ANIV_Nasc&lt;&gt;"")*(MONTH(ANIV_Nasc)=7))</f>
        <v/>
      </c>
    </row>
    <row r="9" ht="20" customHeight="1">
      <c r="A9" s="6" t="n"/>
      <c r="B9" s="28" t="inlineStr">
        <is>
          <t>Camila Diniz</t>
        </is>
      </c>
      <c r="C9" s="27" t="n">
        <v>33752</v>
      </c>
      <c r="D9" s="29">
        <f>IF(C9="","",DATEDIF(C9,TODAY(),"Y"))</f>
        <v/>
      </c>
      <c r="E9" s="29">
        <f>IF(C9="","",TEXT(C9,"dd/mm"))</f>
        <v/>
      </c>
      <c r="F9" s="29" t="inlineStr">
        <is>
          <t>(62) 98333-4444</t>
        </is>
      </c>
      <c r="G9" s="29" t="inlineStr">
        <is>
          <t>Ativo</t>
        </is>
      </c>
      <c r="H9" s="29" t="inlineStr">
        <is>
          <t>Sim</t>
        </is>
      </c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AB9" t="inlineStr">
        <is>
          <t>Ago</t>
        </is>
      </c>
      <c r="AC9">
        <f>SUMPRODUCT((ANIV_Nasc&lt;&gt;"")*(MONTH(ANIV_Nasc)=8))</f>
        <v/>
      </c>
    </row>
    <row r="10" ht="20" customHeight="1">
      <c r="A10" s="6" t="n"/>
      <c r="B10" s="28" t="inlineStr">
        <is>
          <t>Diego Esteves</t>
        </is>
      </c>
      <c r="C10" s="27" t="n">
        <v>34888</v>
      </c>
      <c r="D10" s="29">
        <f>IF(C10="","",DATEDIF(C10,TODAY(),"Y"))</f>
        <v/>
      </c>
      <c r="E10" s="29">
        <f>IF(C10="","",TEXT(C10,"dd/mm"))</f>
        <v/>
      </c>
      <c r="F10" s="29" t="inlineStr">
        <is>
          <t>(62) 98444-5555</t>
        </is>
      </c>
      <c r="G10" s="29" t="inlineStr">
        <is>
          <t>Pausado</t>
        </is>
      </c>
      <c r="H10" s="29" t="inlineStr">
        <is>
          <t>Não</t>
        </is>
      </c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AB10" t="inlineStr">
        <is>
          <t>Set</t>
        </is>
      </c>
      <c r="AC10">
        <f>SUMPRODUCT((ANIV_Nasc&lt;&gt;"")*(MONTH(ANIV_Nasc)=9))</f>
        <v/>
      </c>
    </row>
    <row r="11" ht="20" customHeight="1">
      <c r="A11" s="6" t="n"/>
      <c r="B11" s="28" t="inlineStr">
        <is>
          <t>Eduarda Faria</t>
        </is>
      </c>
      <c r="C11" s="27" t="n">
        <v>33388</v>
      </c>
      <c r="D11" s="29">
        <f>IF(C11="","",DATEDIF(C11,TODAY(),"Y"))</f>
        <v/>
      </c>
      <c r="E11" s="29">
        <f>IF(C11="","",TEXT(C11,"dd/mm"))</f>
        <v/>
      </c>
      <c r="F11" s="29" t="inlineStr">
        <is>
          <t>(62) 98555-6666</t>
        </is>
      </c>
      <c r="G11" s="29" t="inlineStr">
        <is>
          <t>Ativo</t>
        </is>
      </c>
      <c r="H11" s="29" t="inlineStr">
        <is>
          <t>Não</t>
        </is>
      </c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AB11" t="inlineStr">
        <is>
          <t>Out</t>
        </is>
      </c>
      <c r="AC11">
        <f>SUMPRODUCT((ANIV_Nasc&lt;&gt;"")*(MONTH(ANIV_Nasc)=10))</f>
        <v/>
      </c>
    </row>
    <row r="12" ht="20" customHeight="1">
      <c r="A12" s="6" t="n"/>
      <c r="B12" s="28" t="inlineStr">
        <is>
          <t>Fernando Gomes</t>
        </is>
      </c>
      <c r="C12" s="27" t="n">
        <v>32671</v>
      </c>
      <c r="D12" s="29">
        <f>IF(C12="","",DATEDIF(C12,TODAY(),"Y"))</f>
        <v/>
      </c>
      <c r="E12" s="29">
        <f>IF(C12="","",TEXT(C12,"dd/mm"))</f>
        <v/>
      </c>
      <c r="F12" s="29" t="inlineStr">
        <is>
          <t>(62) 98666-7777</t>
        </is>
      </c>
      <c r="G12" s="29" t="inlineStr">
        <is>
          <t>Ativo</t>
        </is>
      </c>
      <c r="H12" s="29" t="inlineStr">
        <is>
          <t>Não</t>
        </is>
      </c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AB12" t="inlineStr">
        <is>
          <t>Nov</t>
        </is>
      </c>
      <c r="AC12">
        <f>SUMPRODUCT((ANIV_Nasc&lt;&gt;"")*(MONTH(ANIV_Nasc)=11))</f>
        <v/>
      </c>
    </row>
    <row r="13" ht="20" customHeight="1">
      <c r="A13" s="6" t="n"/>
      <c r="B13" s="28" t="inlineStr">
        <is>
          <t>Gabriela Hoffmann</t>
        </is>
      </c>
      <c r="C13" s="27" t="n">
        <v>34602</v>
      </c>
      <c r="D13" s="29">
        <f>IF(C13="","",DATEDIF(C13,TODAY(),"Y"))</f>
        <v/>
      </c>
      <c r="E13" s="29">
        <f>IF(C13="","",TEXT(C13,"dd/mm"))</f>
        <v/>
      </c>
      <c r="F13" s="29" t="inlineStr">
        <is>
          <t>(62) 98777-8888</t>
        </is>
      </c>
      <c r="G13" s="29" t="inlineStr">
        <is>
          <t>Ativo</t>
        </is>
      </c>
      <c r="H13" s="29" t="inlineStr">
        <is>
          <t>Não</t>
        </is>
      </c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AB13" t="inlineStr">
        <is>
          <t>Dez</t>
        </is>
      </c>
      <c r="AC13">
        <f>SUMPRODUCT((ANIV_Nasc&lt;&gt;"")*(MONTH(ANIV_Nasc)=12))</f>
        <v/>
      </c>
    </row>
    <row r="14" ht="20" customHeight="1">
      <c r="A14" s="6" t="n"/>
      <c r="B14" s="28" t="inlineStr">
        <is>
          <t>Kris Fellipe</t>
        </is>
      </c>
      <c r="C14" s="27" t="n">
        <v>31566</v>
      </c>
      <c r="D14" s="29">
        <f>IF(C14="","",DATEDIF(C14,TODAY(),"Y"))</f>
        <v/>
      </c>
      <c r="E14" s="29">
        <f>IF(C14="","",TEXT(C14,"dd/mm"))</f>
        <v/>
      </c>
      <c r="F14" s="29" t="inlineStr">
        <is>
          <t>(62) 98888-9999</t>
        </is>
      </c>
      <c r="G14" s="29" t="inlineStr">
        <is>
          <t>Ativo</t>
        </is>
      </c>
      <c r="H14" s="29" t="inlineStr">
        <is>
          <t>Não</t>
        </is>
      </c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</row>
    <row r="15" ht="20" customHeight="1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</row>
    <row r="16" ht="20" customHeight="1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</row>
    <row r="17" ht="2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</row>
    <row r="18" ht="20" customHeight="1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</row>
    <row r="19" ht="20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</row>
    <row r="20" ht="20" customHeight="1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</row>
    <row r="21" ht="20" customHeight="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</row>
    <row r="22" ht="20" customHeight="1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</row>
    <row r="23" ht="20" customHeight="1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</row>
    <row r="24" ht="20" customHeight="1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</row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</sheetData>
  <mergeCells count="3">
    <mergeCell ref="B2:F2"/>
    <mergeCell ref="J4:K4"/>
    <mergeCell ref="B3:F3"/>
  </mergeCells>
  <conditionalFormatting sqref="B7:B56">
    <cfRule type="expression" priority="1" dxfId="6">
      <formula>AND($C7&lt;&gt;"",TEXT($C7,"MM-DD")&gt;=TEXT(TODAY(),"MM-DD"),TEXT($C7,"MM-DD")&lt;=TEXT(TODAY()+7,"MM-DD"))</formula>
    </cfRule>
  </conditionalFormatting>
  <conditionalFormatting sqref="G7:G56">
    <cfRule type="expression" priority="2" dxfId="0">
      <formula>ISNUMBER(SEARCH("Ativo",G7))</formula>
    </cfRule>
    <cfRule type="expression" priority="3" dxfId="2">
      <formula>ISNUMBER(SEARCH("Pausado",G7))</formula>
    </cfRule>
    <cfRule type="expression" priority="4" dxfId="5">
      <formula>ISNUMBER(SEARCH("Alta",G7))</formula>
    </cfRule>
    <cfRule type="expression" priority="5" dxfId="1">
      <formula>ISNUMBER(SEARCH("Inativo",G7))</formula>
    </cfRule>
  </conditionalFormatting>
  <conditionalFormatting sqref="H7:H56">
    <cfRule type="expression" priority="6" dxfId="0">
      <formula>ISNUMBER(SEARCH("Sim",H7))</formula>
    </cfRule>
    <cfRule type="expression" priority="7" dxfId="1">
      <formula>ISNUMBER(SEARCH("Não",H7))</formula>
    </cfRule>
  </conditionalFormatting>
  <dataValidations count="2">
    <dataValidation sqref="G7:G56" showDropDown="0" showInputMessage="0" showErrorMessage="0" allowBlank="1" type="list">
      <formula1>"Ativo,Pausado,Alta,Inativo"</formula1>
    </dataValidation>
    <dataValidation sqref="H7:H56" showDropDown="0" showInputMessage="0" showErrorMessage="0" allowBlank="1" type="list">
      <formula1>"Sim,Não"</formula1>
    </dataValidation>
  </dataValidations>
  <pageMargins left="0.4" right="0.4" top="0.5" bottom="0.5" header="0.2" footer="0.2"/>
  <pageSetup orientation="landscape" fitToHeight="0" fitToWidth="1"/>
  <headerFooter>
    <oddHeader/>
    <oddFooter>&amp;L&amp;8 &amp;K3B3B3BPsi Planner&amp;C&amp;8 &amp;K3B3B3BClínica Vita&amp;R&amp;8 &amp;K3B3B3B&amp;P /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3B3B3B"/>
    <outlinePr summaryBelow="1" summaryRight="1"/>
    <pageSetUpPr fitToPage="1"/>
  </sheetPr>
  <dimension ref="A1:AI34"/>
  <sheetViews>
    <sheetView showGridLines="0" showRowColHeaders="0" zoomScale="10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8" customWidth="1" min="3" max="3"/>
    <col width="4" customWidth="1" min="4" max="4"/>
    <col width="26" customWidth="1" min="5" max="5"/>
    <col width="18" customWidth="1" min="6" max="6"/>
    <col width="4" customWidth="1" min="7" max="7"/>
    <col width="26" customWidth="1" min="8" max="8"/>
    <col width="18" customWidth="1" min="9" max="9"/>
    <col width="3" customWidth="1" min="10" max="10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</cols>
  <sheetData>
    <row r="1" ht="3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AB1" t="inlineStr">
        <is>
          <t>Mês</t>
        </is>
      </c>
      <c r="AC1" t="inlineStr">
        <is>
          <t>Receita</t>
        </is>
      </c>
      <c r="AE1" t="inlineStr">
        <is>
          <t>Mês</t>
        </is>
      </c>
      <c r="AF1" t="inlineStr">
        <is>
          <t>Atend.</t>
        </is>
      </c>
      <c r="AH1" t="inlineStr">
        <is>
          <t>Convênio</t>
        </is>
      </c>
      <c r="AI1" t="inlineStr">
        <is>
          <t>Valor</t>
        </is>
      </c>
    </row>
    <row r="2" ht="50" customHeight="1">
      <c r="A2" s="3" t="n"/>
      <c r="B2" s="21" t="inlineStr">
        <is>
          <t>RELATÓRIOS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AB2" t="inlineStr">
        <is>
          <t>Jan</t>
        </is>
      </c>
      <c r="AC2">
        <f>SUMIFS(FIN_Valor,FIN_Status,"Pago",FIN_Data,"&gt;="&amp;DATE(YEAR(TODAY()),1,1),FIN_Data,"&lt;="&amp;EOMONTH(DATE(YEAR(TODAY()),1,1),0))</f>
        <v/>
      </c>
      <c r="AE2" t="inlineStr">
        <is>
          <t>Jan</t>
        </is>
      </c>
      <c r="AF2">
        <f>SUMPRODUCT((MONTH(CAL_LogData)=1)*(CAL_LogData&lt;&gt;""))</f>
        <v/>
      </c>
      <c r="AH2" t="inlineStr">
        <is>
          <t>Particular</t>
        </is>
      </c>
      <c r="AI2">
        <f>SUMIFS(FIN_Valor,FIN_Paciente,"*")*0+SUMPRODUCT((PAC_Convenio="Particular")*PAC_ValorSessao)</f>
        <v/>
      </c>
    </row>
    <row r="3" ht="14" customHeight="1">
      <c r="A3" s="6" t="n"/>
      <c r="B3" s="7" t="inlineStr">
        <is>
          <t>Visão consolidada da clínica</t>
        </is>
      </c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AB3" t="inlineStr">
        <is>
          <t>Fev</t>
        </is>
      </c>
      <c r="AC3">
        <f>SUMIFS(FIN_Valor,FIN_Status,"Pago",FIN_Data,"&gt;="&amp;DATE(YEAR(TODAY()),2,1),FIN_Data,"&lt;="&amp;EOMONTH(DATE(YEAR(TODAY()),2,1),0))</f>
        <v/>
      </c>
      <c r="AE3" t="inlineStr">
        <is>
          <t>Fev</t>
        </is>
      </c>
      <c r="AF3">
        <f>SUMPRODUCT((MONTH(CAL_LogData)=2)*(CAL_LogData&lt;&gt;""))</f>
        <v/>
      </c>
      <c r="AH3" t="inlineStr">
        <is>
          <t>Unimed</t>
        </is>
      </c>
      <c r="AI3">
        <f>SUMIFS(FIN_Valor,FIN_Paciente,"*")*0+SUMPRODUCT((PAC_Convenio="Unimed")*PAC_ValorSessao)</f>
        <v/>
      </c>
    </row>
    <row r="4" ht="14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AB4" t="inlineStr">
        <is>
          <t>Mar</t>
        </is>
      </c>
      <c r="AC4">
        <f>SUMIFS(FIN_Valor,FIN_Status,"Pago",FIN_Data,"&gt;="&amp;DATE(YEAR(TODAY()),3,1),FIN_Data,"&lt;="&amp;EOMONTH(DATE(YEAR(TODAY()),3,1),0))</f>
        <v/>
      </c>
      <c r="AE4" t="inlineStr">
        <is>
          <t>Mar</t>
        </is>
      </c>
      <c r="AF4">
        <f>SUMPRODUCT((MONTH(CAL_LogData)=3)*(CAL_LogData&lt;&gt;""))</f>
        <v/>
      </c>
      <c r="AH4" t="inlineStr">
        <is>
          <t>Bradesco Saúde</t>
        </is>
      </c>
      <c r="AI4">
        <f>SUMIFS(FIN_Valor,FIN_Paciente,"*")*0+SUMPRODUCT((PAC_Convenio="Bradesco Saúde")*PAC_ValorSessao)</f>
        <v/>
      </c>
    </row>
    <row r="5" ht="22" customHeight="1">
      <c r="A5" s="6" t="n"/>
      <c r="B5" s="18" t="inlineStr">
        <is>
          <t>INDICADORES</t>
        </is>
      </c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AB5" t="inlineStr">
        <is>
          <t>Abr</t>
        </is>
      </c>
      <c r="AC5">
        <f>SUMIFS(FIN_Valor,FIN_Status,"Pago",FIN_Data,"&gt;="&amp;DATE(YEAR(TODAY()),4,1),FIN_Data,"&lt;="&amp;EOMONTH(DATE(YEAR(TODAY()),4,1),0))</f>
        <v/>
      </c>
      <c r="AE5" t="inlineStr">
        <is>
          <t>Abr</t>
        </is>
      </c>
      <c r="AF5">
        <f>SUMPRODUCT((MONTH(CAL_LogData)=4)*(CAL_LogData&lt;&gt;""))</f>
        <v/>
      </c>
      <c r="AH5" t="inlineStr">
        <is>
          <t>SulAmérica</t>
        </is>
      </c>
      <c r="AI5">
        <f>SUMIFS(FIN_Valor,FIN_Paciente,"*")*0+SUMPRODUCT((PAC_Convenio="SulAmérica")*PAC_ValorSessao)</f>
        <v/>
      </c>
    </row>
    <row r="6" ht="24" customHeight="1">
      <c r="A6" s="6" t="n"/>
      <c r="B6" s="34" t="inlineStr">
        <is>
          <t>Receita mensal</t>
        </is>
      </c>
      <c r="C6" s="35">
        <f>'Menu Inicial'!C7</f>
        <v/>
      </c>
      <c r="D6" s="6" t="n"/>
      <c r="E6" s="34" t="inlineStr">
        <is>
          <t>Pacientes ativos</t>
        </is>
      </c>
      <c r="F6" s="37">
        <f>COUNTIF(PAC_Status,"Ativo")</f>
        <v/>
      </c>
      <c r="G6" s="6" t="n"/>
      <c r="H6" s="34" t="inlineStr">
        <is>
          <t>Receita por convênio</t>
        </is>
      </c>
      <c r="I6" s="35">
        <f>SUMIF(FIN_Forma,"Convênio",FIN_Valor)</f>
        <v/>
      </c>
      <c r="J6" s="6" t="n"/>
      <c r="K6" s="6" t="n"/>
      <c r="L6" s="6" t="n"/>
      <c r="M6" s="6" t="n"/>
      <c r="N6" s="6" t="n"/>
      <c r="O6" s="6" t="n"/>
      <c r="AB6" t="inlineStr">
        <is>
          <t>Mai</t>
        </is>
      </c>
      <c r="AC6">
        <f>SUMIFS(FIN_Valor,FIN_Status,"Pago",FIN_Data,"&gt;="&amp;DATE(YEAR(TODAY()),5,1),FIN_Data,"&lt;="&amp;EOMONTH(DATE(YEAR(TODAY()),5,1),0))</f>
        <v/>
      </c>
      <c r="AE6" t="inlineStr">
        <is>
          <t>Mai</t>
        </is>
      </c>
      <c r="AF6">
        <f>SUMPRODUCT((MONTH(CAL_LogData)=5)*(CAL_LogData&lt;&gt;""))</f>
        <v/>
      </c>
      <c r="AH6" t="inlineStr">
        <is>
          <t>Convênio</t>
        </is>
      </c>
      <c r="AI6">
        <f>SUMIF(FIN_Forma,"Convênio",FIN_Valor)</f>
        <v/>
      </c>
    </row>
    <row r="7" ht="24" customHeight="1">
      <c r="A7" s="6" t="n"/>
      <c r="B7" s="34" t="inlineStr">
        <is>
          <t>Receita anual</t>
        </is>
      </c>
      <c r="C7" s="35">
        <f>MEI_Faturamento</f>
        <v/>
      </c>
      <c r="D7" s="6" t="n"/>
      <c r="E7" s="34" t="inlineStr">
        <is>
          <t>Taxa de cancelamento</t>
        </is>
      </c>
      <c r="F7" s="39">
        <f>CAL_TaxaCancelamento</f>
        <v/>
      </c>
      <c r="G7" s="6" t="n"/>
      <c r="H7" s="34" t="inlineStr">
        <is>
          <t>Comparativo entre meses</t>
        </is>
      </c>
      <c r="I7" s="39">
        <f>IFERROR((SUMIFS(FIN_Valor,FIN_Status,"Pago",FIN_Data,"&gt;="&amp;DATE(YEAR(TODAY()),MONTH(TODAY()),1),FIN_Data,"&lt;="&amp;EOMONTH(TODAY(),0))-SUMIFS(FIN_Valor,FIN_Status,"Pago",FIN_Data,"&gt;="&amp;DATE(YEAR(TODAY()),MONTH(TODAY())-1,1),FIN_Data,"&lt;="&amp;EOMONTH(TODAY(),-1)))/SUMIFS(FIN_Valor,FIN_Status,"Pago",FIN_Data,"&gt;="&amp;DATE(YEAR(TODAY()),MONTH(TODAY())-1,1),FIN_Data,"&lt;="&amp;EOMONTH(TODAY(),-1)),0)</f>
        <v/>
      </c>
      <c r="J7" s="6" t="n"/>
      <c r="K7" s="6" t="n"/>
      <c r="L7" s="6" t="n"/>
      <c r="M7" s="6" t="n"/>
      <c r="N7" s="6" t="n"/>
      <c r="O7" s="6" t="n"/>
      <c r="AB7" t="inlineStr">
        <is>
          <t>Jun</t>
        </is>
      </c>
      <c r="AC7">
        <f>SUMIFS(FIN_Valor,FIN_Status,"Pago",FIN_Data,"&gt;="&amp;DATE(YEAR(TODAY()),6,1),FIN_Data,"&lt;="&amp;EOMONTH(DATE(YEAR(TODAY()),6,1),0))</f>
        <v/>
      </c>
      <c r="AE7" t="inlineStr">
        <is>
          <t>Jun</t>
        </is>
      </c>
      <c r="AF7">
        <f>SUMPRODUCT((MONTH(CAL_LogData)=6)*(CAL_LogData&lt;&gt;""))</f>
        <v/>
      </c>
    </row>
    <row r="8" ht="24" customHeight="1">
      <c r="A8" s="6" t="n"/>
      <c r="B8" s="34" t="inlineStr">
        <is>
          <t>Nº de atendimentos</t>
        </is>
      </c>
      <c r="C8" s="37">
        <f>COUNTA(CAL_LogStatus)</f>
        <v/>
      </c>
      <c r="D8" s="6" t="n"/>
      <c r="E8" s="34" t="inlineStr">
        <is>
          <t>Taxa de inadimplência</t>
        </is>
      </c>
      <c r="F8" s="48">
        <f>FIN_Inadimplencia</f>
        <v/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AB8" t="inlineStr">
        <is>
          <t>Jul</t>
        </is>
      </c>
      <c r="AC8">
        <f>SUMIFS(FIN_Valor,FIN_Status,"Pago",FIN_Data,"&gt;="&amp;DATE(YEAR(TODAY()),7,1),FIN_Data,"&lt;="&amp;EOMONTH(DATE(YEAR(TODAY()),7,1),0))</f>
        <v/>
      </c>
    </row>
    <row r="9" ht="24" customHeight="1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AB9" t="inlineStr">
        <is>
          <t>Ago</t>
        </is>
      </c>
      <c r="AC9">
        <f>SUMIFS(FIN_Valor,FIN_Status,"Pago",FIN_Data,"&gt;="&amp;DATE(YEAR(TODAY()),8,1),FIN_Data,"&lt;="&amp;EOMONTH(DATE(YEAR(TODAY()),8,1),0))</f>
        <v/>
      </c>
    </row>
    <row r="10" ht="24" customHeight="1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AB10" t="inlineStr">
        <is>
          <t>Set</t>
        </is>
      </c>
      <c r="AC10">
        <f>SUMIFS(FIN_Valor,FIN_Status,"Pago",FIN_Data,"&gt;="&amp;DATE(YEAR(TODAY()),9,1),FIN_Data,"&lt;="&amp;EOMONTH(DATE(YEAR(TODAY()),9,1),0))</f>
        <v/>
      </c>
    </row>
    <row r="11" ht="24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AB11" t="inlineStr">
        <is>
          <t>Out</t>
        </is>
      </c>
      <c r="AC11">
        <f>SUMIFS(FIN_Valor,FIN_Status,"Pago",FIN_Data,"&gt;="&amp;DATE(YEAR(TODAY()),10,1),FIN_Data,"&lt;="&amp;EOMONTH(DATE(YEAR(TODAY()),10,1),0))</f>
        <v/>
      </c>
    </row>
    <row r="12" ht="24" customHeight="1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AB12" t="inlineStr">
        <is>
          <t>Nov</t>
        </is>
      </c>
      <c r="AC12">
        <f>SUMIFS(FIN_Valor,FIN_Status,"Pago",FIN_Data,"&gt;="&amp;DATE(YEAR(TODAY()),11,1),FIN_Data,"&lt;="&amp;EOMONTH(DATE(YEAR(TODAY()),11,1),0))</f>
        <v/>
      </c>
    </row>
    <row r="13" ht="24" customHeight="1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AB13" t="inlineStr">
        <is>
          <t>Dez</t>
        </is>
      </c>
      <c r="AC13">
        <f>SUMIFS(FIN_Valor,FIN_Status,"Pago",FIN_Data,"&gt;="&amp;DATE(YEAR(TODAY()),12,1),FIN_Data,"&lt;="&amp;EOMONTH(DATE(YEAR(TODAY()),12,1),0))</f>
        <v/>
      </c>
    </row>
    <row r="14">
      <c r="A14" s="6" t="n"/>
      <c r="B14" s="18" t="inlineStr">
        <is>
          <t>GRÁFICOS</t>
        </is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</row>
  </sheetData>
  <mergeCells count="2">
    <mergeCell ref="B2:F2"/>
    <mergeCell ref="B3:F3"/>
  </mergeCells>
  <conditionalFormatting sqref="F8">
    <cfRule type="expression" priority="1" dxfId="4">
      <formula>F8&gt;0.15</formula>
    </cfRule>
  </conditionalFormatting>
  <conditionalFormatting sqref="F7">
    <cfRule type="expression" priority="2" dxfId="4">
      <formula>F7&gt;0.1</formula>
    </cfRule>
  </conditionalFormatting>
  <pageMargins left="0.4" right="0.4" top="0.5" bottom="0.5" header="0.2" footer="0.2"/>
  <pageSetup orientation="landscape" fitToHeight="0" fitToWidth="1"/>
  <headerFooter>
    <oddHeader/>
    <oddFooter>&amp;L&amp;8 &amp;K3B3B3BPsi Planner&amp;C&amp;8 &amp;K3B3B3BClínica Vita&amp;R&amp;8 &amp;K3B3B3B&amp;P / &amp;N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3B3B3B"/>
    <outlinePr summaryBelow="1" summaryRight="1"/>
    <pageSetUpPr fitToPage="1"/>
  </sheetPr>
  <dimension ref="A1:D26"/>
  <sheetViews>
    <sheetView showGridLines="0" showRowColHeaders="0" zoomScale="10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32" customWidth="1" min="3" max="3"/>
    <col width="3" customWidth="1" min="4" max="4"/>
  </cols>
  <sheetData>
    <row r="1" ht="30" customHeight="1">
      <c r="A1" s="1" t="n"/>
      <c r="B1" s="1" t="n"/>
      <c r="C1" s="1" t="n"/>
      <c r="D1" s="1" t="n"/>
    </row>
    <row r="2" ht="50" customHeight="1">
      <c r="A2" s="3" t="n"/>
      <c r="B2" s="21" t="inlineStr">
        <is>
          <t>CONFIGURAÇÕES</t>
        </is>
      </c>
      <c r="C2" s="3" t="n"/>
      <c r="D2" s="3" t="n"/>
    </row>
    <row r="3" ht="14" customHeight="1">
      <c r="A3" s="6" t="n"/>
      <c r="B3" s="7" t="inlineStr">
        <is>
          <t>Preferências e dados do profissional</t>
        </is>
      </c>
      <c r="C3" s="6" t="n"/>
      <c r="D3" s="6" t="n"/>
    </row>
    <row r="4" ht="14" customHeight="1">
      <c r="A4" s="6" t="n"/>
      <c r="B4" s="6" t="n"/>
      <c r="C4" s="6" t="n"/>
      <c r="D4" s="6" t="n"/>
    </row>
    <row r="5" ht="22" customHeight="1">
      <c r="A5" s="6" t="n"/>
      <c r="B5" s="18" t="inlineStr">
        <is>
          <t>DADOS DA CLÍNICA</t>
        </is>
      </c>
      <c r="C5" s="6" t="n"/>
      <c r="D5" s="6" t="n"/>
    </row>
    <row r="6" ht="24" customHeight="1">
      <c r="A6" s="6" t="n"/>
      <c r="B6" s="49" t="inlineStr">
        <is>
          <t>Nome da clínica</t>
        </is>
      </c>
      <c r="C6" s="50" t="inlineStr">
        <is>
          <t>Clínica Vita</t>
        </is>
      </c>
      <c r="D6" s="6" t="n"/>
    </row>
    <row r="7" ht="24" customHeight="1">
      <c r="A7" s="6" t="n"/>
      <c r="B7" s="49" t="inlineStr">
        <is>
          <t>Profissional responsável</t>
        </is>
      </c>
      <c r="C7" s="50" t="inlineStr">
        <is>
          <t>Guilherme Quintino</t>
        </is>
      </c>
      <c r="D7" s="6" t="n"/>
    </row>
    <row r="8" ht="24" customHeight="1">
      <c r="A8" s="6" t="n"/>
      <c r="B8" s="49" t="inlineStr">
        <is>
          <t>Registro profissional</t>
        </is>
      </c>
      <c r="C8" s="50" t="inlineStr">
        <is>
          <t>CRP 09/12345</t>
        </is>
      </c>
      <c r="D8" s="6" t="n"/>
    </row>
    <row r="9" ht="24" customHeight="1">
      <c r="A9" s="6" t="n"/>
      <c r="B9" s="49" t="inlineStr">
        <is>
          <t>Telefone de contato</t>
        </is>
      </c>
      <c r="C9" s="50" t="inlineStr">
        <is>
          <t>(62) 99000-1010</t>
        </is>
      </c>
      <c r="D9" s="6" t="n"/>
    </row>
    <row r="10" ht="24" customHeight="1">
      <c r="A10" s="6" t="n"/>
      <c r="B10" s="49" t="inlineStr">
        <is>
          <t>Email</t>
        </is>
      </c>
      <c r="C10" s="50" t="inlineStr">
        <is>
          <t>contato@clinicavita.com.br</t>
        </is>
      </c>
      <c r="D10" s="6" t="n"/>
    </row>
    <row r="11" ht="22" customHeight="1">
      <c r="A11" s="6" t="n"/>
      <c r="B11" s="6" t="n"/>
      <c r="C11" s="6" t="n"/>
      <c r="D11" s="6" t="n"/>
    </row>
    <row r="12" ht="24" customHeight="1">
      <c r="A12" s="6" t="n"/>
      <c r="B12" s="18" t="inlineStr">
        <is>
          <t>PARÂMETROS</t>
        </is>
      </c>
      <c r="C12" s="6" t="n"/>
      <c r="D12" s="6" t="n"/>
    </row>
    <row r="13" ht="24" customHeight="1">
      <c r="A13" s="6" t="n"/>
      <c r="B13" s="49" t="inlineStr">
        <is>
          <t>Limite MEI (anual)</t>
        </is>
      </c>
      <c r="C13" s="51" t="n">
        <v>81000</v>
      </c>
      <c r="D13" s="6" t="n"/>
    </row>
    <row r="14" ht="24" customHeight="1">
      <c r="A14" s="6" t="n"/>
      <c r="B14" s="49" t="inlineStr">
        <is>
          <t>Valor padrão da sessão</t>
        </is>
      </c>
      <c r="C14" s="52" t="n">
        <v>180</v>
      </c>
      <c r="D14" s="6" t="n"/>
    </row>
    <row r="15" ht="48" customHeight="1">
      <c r="A15" s="6" t="n"/>
      <c r="B15" s="53" t="inlineStr">
        <is>
          <t>Categorias de despesa</t>
        </is>
      </c>
      <c r="C15" s="54" t="inlineStr">
        <is>
          <t>Aluguel · Supervisão · Marketing · Plataforma online · Materiais · Internet · Outros</t>
        </is>
      </c>
      <c r="D15" s="6" t="n"/>
    </row>
    <row r="16" ht="14" customHeight="1">
      <c r="A16" s="6" t="n"/>
      <c r="B16" s="6" t="n"/>
      <c r="C16" s="6" t="n"/>
      <c r="D16" s="6" t="n"/>
    </row>
    <row r="17" ht="22" customHeight="1">
      <c r="A17" s="6" t="n"/>
      <c r="B17" s="18" t="inlineStr">
        <is>
          <t>PRIVACIDADE</t>
        </is>
      </c>
      <c r="C17" s="6" t="n"/>
      <c r="D17" s="6" t="n"/>
    </row>
    <row r="18" ht="24" customHeight="1">
      <c r="A18" s="6" t="n"/>
      <c r="B18" s="49" t="inlineStr">
        <is>
          <t>Exibir informações de convênio</t>
        </is>
      </c>
      <c r="C18" s="55" t="inlineStr">
        <is>
          <t>Sim</t>
        </is>
      </c>
      <c r="D18" s="6" t="n"/>
    </row>
    <row r="19" ht="14" customHeight="1">
      <c r="A19" s="6" t="n"/>
      <c r="B19" s="6" t="n"/>
      <c r="C19" s="6" t="n"/>
      <c r="D19" s="6" t="n"/>
    </row>
    <row r="20" ht="22" customHeight="1">
      <c r="A20" s="6" t="n"/>
      <c r="B20" s="18" t="inlineStr">
        <is>
          <t>APARÊNCIA</t>
        </is>
      </c>
      <c r="C20" s="6" t="n"/>
      <c r="D20" s="6" t="n"/>
    </row>
    <row r="21" ht="24" customHeight="1">
      <c r="A21" s="6" t="n"/>
      <c r="B21" s="49" t="inlineStr">
        <is>
          <t>Tema</t>
        </is>
      </c>
      <c r="C21" s="55" t="inlineStr">
        <is>
          <t>Claro</t>
        </is>
      </c>
      <c r="D21" s="6" t="n"/>
    </row>
    <row r="22" ht="38" customHeight="1">
      <c r="A22" s="6" t="n"/>
      <c r="B22" s="6" t="n"/>
      <c r="C22" s="6" t="n"/>
      <c r="D22" s="6" t="n"/>
    </row>
    <row r="23" ht="14" customHeight="1">
      <c r="A23" s="6" t="n"/>
      <c r="B23" s="6" t="n"/>
      <c r="C23" s="6" t="n"/>
      <c r="D23" s="6" t="n"/>
    </row>
    <row r="24">
      <c r="A24" s="6" t="n"/>
      <c r="B24" s="6" t="n"/>
      <c r="C24" s="6" t="n"/>
      <c r="D24" s="6" t="n"/>
    </row>
    <row r="25">
      <c r="A25" s="6" t="n"/>
      <c r="B25" s="6" t="n"/>
      <c r="C25" s="6" t="n"/>
      <c r="D25" s="6" t="n"/>
    </row>
    <row r="26">
      <c r="A26" s="6" t="n"/>
      <c r="B26" s="6" t="n"/>
      <c r="C26" s="6" t="n"/>
      <c r="D26" s="6" t="n"/>
    </row>
  </sheetData>
  <mergeCells count="2">
    <mergeCell ref="B3:C3"/>
    <mergeCell ref="B2:C2"/>
  </mergeCells>
  <dataValidations count="2">
    <dataValidation sqref="C18" showDropDown="0" showInputMessage="0" showErrorMessage="0" allowBlank="1" type="list">
      <formula1>"Sim,Não"</formula1>
    </dataValidation>
    <dataValidation sqref="C21" showDropDown="0" showInputMessage="0" showErrorMessage="0" allowBlank="1" type="list">
      <formula1>"Claro,Escuro"</formula1>
    </dataValidation>
  </dataValidations>
  <pageMargins left="0.4" right="0.4" top="0.5" bottom="0.5" header="0.2" footer="0.2"/>
  <pageSetup orientation="portrait" fitToHeight="0" fitToWidth="1"/>
  <headerFooter>
    <oddHeader/>
    <oddFooter>&amp;L&amp;8 &amp;K3B3B3BPsi Planner&amp;C&amp;8 &amp;K3B3B3BClínica Vita&amp;R&amp;8 &amp;K3B3B3B&amp;P /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Psi Planner</dc:creator>
  <dc:title xmlns:dc="http://purl.org/dc/elements/1.1/">Psi Planner</dc:title>
  <dc:description xmlns:dc="http://purl.org/dc/elements/1.1/">Psi Planner — controle financeiro, agenda e indicadores para profissionais de saúde mental.</dc:description>
  <dc:subject xmlns:dc="http://purl.org/dc/elements/1.1/">Planejador financeiro-clínico para psicólogos e terapeutas</dc:subject>
  <dcterms:created xmlns:dcterms="http://purl.org/dc/terms/" xmlns:xsi="http://www.w3.org/2001/XMLSchema-instance" xsi:type="dcterms:W3CDTF">2026-05-29T00:48:02Z</dcterms:created>
  <dcterms:modified xmlns:dcterms="http://purl.org/dc/terms/" xmlns:xsi="http://www.w3.org/2001/XMLSchema-instance" xsi:type="dcterms:W3CDTF">2026-05-29T00:48:02Z</dcterms:modified>
  <cp:category>Planilha financeira</cp:category>
  <cp:keywords>psicologia, financeiro, MEI, agenda, clínica</cp:keywords>
</cp:coreProperties>
</file>